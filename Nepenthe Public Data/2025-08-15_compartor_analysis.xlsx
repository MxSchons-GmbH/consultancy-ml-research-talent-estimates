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nkedIn_filter_evaluation" sheetId="1" state="visible" r:id="rId1"/>
    <sheet name="llm_based_evaluation" sheetId="2" state="visible" r:id="rId2"/>
    <sheet name="ML ORGS" sheetId="3" state="visible" r:id="rId3"/>
    <sheet name="Non ML ORGs" sheetId="4" state="visible" r:id="rId4"/>
  </sheets>
  <definedNames>
    <definedName name="_xlnm._FilterDatabase" localSheetId="1" hidden="1">'llm_based_evaluation'!$B$1:$W$749</definedName>
    <definedName name="_xlnm._FilterDatabase" localSheetId="2" hidden="1">'ML ORGS'!$A$1:$AB$39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rgb="FF0000FF"/>
      <u val="single"/>
    </font>
    <font>
      <name val="Arial"/>
      <color rgb="FF1155CC"/>
      <u val="single"/>
    </font>
    <font>
      <name val="Arial"/>
      <color rgb="FF1155CC"/>
      <u val="single"/>
    </font>
    <font>
      <name val="Arial"/>
      <b val="1"/>
      <color theme="1"/>
      <scheme val="minor"/>
    </font>
    <font>
      <name val="Helvetica Neue"/>
      <b val="1"/>
      <color rgb="FF000000"/>
    </font>
    <font>
      <name val="Arial"/>
      <color theme="1"/>
      <scheme val="minor"/>
    </font>
    <font>
      <name val="Helvetica Neue"/>
      <color rgb="FF000000"/>
    </font>
  </fonts>
  <fills count="4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vertical="top"/>
    </xf>
    <xf numFmtId="0" fontId="8" fillId="0" borderId="0" pivotButton="0" quotePrefix="0" xfId="0"/>
    <xf numFmtId="0" fontId="7" fillId="3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8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search.nvidia.com/research-labs" TargetMode="External" Id="rId1" /><Relationship Type="http://schemas.openxmlformats.org/officeDocument/2006/relationships/hyperlink" Target="https://www.linkedin.com/company/nvidia/" TargetMode="External" Id="rId2" /><Relationship Type="http://schemas.openxmlformats.org/officeDocument/2006/relationships/hyperlink" Target="https://www.linkedin.com/company/meta/" TargetMode="External" Id="rId3" /><Relationship Type="http://schemas.openxmlformats.org/officeDocument/2006/relationships/hyperlink" Target="https://www.linkedin.com/showcase/microsoftresearch/" TargetMode="External" Id="rId4" /><Relationship Type="http://schemas.openxmlformats.org/officeDocument/2006/relationships/hyperlink" Target="https://www.linkedin.com/showcase/amazonscience/" TargetMode="External" Id="rId5" /><Relationship Type="http://schemas.openxmlformats.org/officeDocument/2006/relationships/hyperlink" Target="https://www.linkedin.com/company/openai/" TargetMode="External" Id="rId6" /><Relationship Type="http://schemas.openxmlformats.org/officeDocument/2006/relationships/hyperlink" Target="https://www.linkedin.com/company/googledeepmind/" TargetMode="External" Id="rId7" /><Relationship Type="http://schemas.openxmlformats.org/officeDocument/2006/relationships/hyperlink" Target="https://www.linkedin.com/company/anthropic/" TargetMode="External" Id="rId8" /><Relationship Type="http://schemas.openxmlformats.org/officeDocument/2006/relationships/hyperlink" Target="https://www.linkedin.com/company/xai/" TargetMode="External" Id="rId9" /><Relationship Type="http://schemas.openxmlformats.org/officeDocument/2006/relationships/hyperlink" Target="https://www.linkedin.com/company/allen-ai/" TargetMode="External" Id="rId10" /><Relationship Type="http://schemas.openxmlformats.org/officeDocument/2006/relationships/hyperlink" Target="https://www.linkedin.com/school/mila-quebec/" TargetMode="External" Id="rId11" /><Relationship Type="http://schemas.openxmlformats.org/officeDocument/2006/relationships/hyperlink" Target="https://www.linkedin.com/company/lawzero/" TargetMode="External" Id="rId12" /><Relationship Type="http://schemas.openxmlformats.org/officeDocument/2006/relationships/hyperlink" Target="https://thinkingmachines.ai/" TargetMode="External" Id="rId13" /><Relationship Type="http://schemas.openxmlformats.org/officeDocument/2006/relationships/hyperlink" Target="https://www.linkedin.com/company/huggingface/" TargetMode="External" Id="rId14" /><Relationship Type="http://schemas.openxmlformats.org/officeDocument/2006/relationships/hyperlink" Target="https://www.linkedin.com/company/midjourney/" TargetMode="External" Id="rId15" /><Relationship Type="http://schemas.openxmlformats.org/officeDocument/2006/relationships/hyperlink" Target="https://www.linkedin.com/company/cohere-ai/" TargetMode="External" Id="rId16" /><Relationship Type="http://schemas.openxmlformats.org/officeDocument/2006/relationships/hyperlink" Target="https://www.linkedin.com/company/perplexity-ai/" TargetMode="External" Id="rId17" /><Relationship Type="http://schemas.openxmlformats.org/officeDocument/2006/relationships/hyperlink" Target="https://www.linkedin.com/company/mistralai/" TargetMode="External" Id="rId18" /><Relationship Type="http://schemas.openxmlformats.org/officeDocument/2006/relationships/hyperlink" Target="http://character.ai" TargetMode="External" Id="rId19" /><Relationship Type="http://schemas.openxmlformats.org/officeDocument/2006/relationships/hyperlink" Target="https://www.linkedin.com/company/character-ai/" TargetMode="External" Id="rId20" /><Relationship Type="http://schemas.openxmlformats.org/officeDocument/2006/relationships/hyperlink" Target="https://www.linkedin.com/company/ai21/" TargetMode="External" Id="rId21" /><Relationship Type="http://schemas.openxmlformats.org/officeDocument/2006/relationships/hyperlink" Target="https://www.linkedin.com/company/baidu-usa/" TargetMode="External" Id="rId22" /><Relationship Type="http://schemas.openxmlformats.org/officeDocument/2006/relationships/hyperlink" Target="https://www.linkedin.com/company/patagonia_2/" TargetMode="External" Id="rId23" /><Relationship Type="http://schemas.openxmlformats.org/officeDocument/2006/relationships/hyperlink" Target="https://www.linkedin.com/company/the-north-face/" TargetMode="External" Id="rId24" /><Relationship Type="http://schemas.openxmlformats.org/officeDocument/2006/relationships/hyperlink" Target="https://www.linkedin.com/company/yeti/" TargetMode="External" Id="rId25" /><Relationship Type="http://schemas.openxmlformats.org/officeDocument/2006/relationships/hyperlink" Target="https://www.linkedin.com/company/hydro-flask/" TargetMode="External" Id="rId26" /><Relationship Type="http://schemas.openxmlformats.org/officeDocument/2006/relationships/hyperlink" Target="https://www.linkedin.com/company/new-york-philharmonic/" TargetMode="External" Id="rId27" /><Relationship Type="http://schemas.openxmlformats.org/officeDocument/2006/relationships/hyperlink" Target="https://www.linkedin.com/company/london-symphony-orchestra/" TargetMode="External" Id="rId28" /><Relationship Type="http://schemas.openxmlformats.org/officeDocument/2006/relationships/hyperlink" Target="https://www.linkedin.com/company/museo-nacional-del-prado/" TargetMode="External" Id="rId29" /><Relationship Type="http://schemas.openxmlformats.org/officeDocument/2006/relationships/hyperlink" Target="https://www.linkedin.com/company/the-british-museum/" TargetMode="External" Id="rId30" /><Relationship Type="http://schemas.openxmlformats.org/officeDocument/2006/relationships/hyperlink" Target="https://www.linkedin.com/company/crocsinc/" TargetMode="External" Id="rId31" /><Relationship Type="http://schemas.openxmlformats.org/officeDocument/2006/relationships/hyperlink" Target="https://www.linkedin.com/company/lvmh/" TargetMode="External" Id="rId32" /><Relationship Type="http://schemas.openxmlformats.org/officeDocument/2006/relationships/hyperlink" Target="https://www.linkedin.com/company/harpercollins/" TargetMode="External" Id="rId33" /><Relationship Type="http://schemas.openxmlformats.org/officeDocument/2006/relationships/hyperlink" Target="https://www.linkedin.com/company/penguin-random-house-publishing/" TargetMode="External" Id="rId34" /><Relationship Type="http://schemas.openxmlformats.org/officeDocument/2006/relationships/hyperlink" Target="https://www.linkedin.com/company/sierra-nevada-brewing-co-/" TargetMode="External" Id="rId35" /><Relationship Type="http://schemas.openxmlformats.org/officeDocument/2006/relationships/hyperlink" Target="https://www.linkedin.com/company/the-coca-cola-company/" TargetMode="External" Id="rId36" /><Relationship Type="http://schemas.openxmlformats.org/officeDocument/2006/relationships/hyperlink" Target="https://www.linkedin.com/company/jotun/" TargetMode="External" Id="rId37" /><Relationship Type="http://schemas.openxmlformats.org/officeDocument/2006/relationships/hyperlink" Target="https://www.linkedin.com/company/sherwin-williams/" TargetMode="External" Id="rId38" /><Relationship Type="http://schemas.openxmlformats.org/officeDocument/2006/relationships/hyperlink" Target="https://www.linkedin.com/company/desigual/" TargetMode="External" Id="rId39" /><Relationship Type="http://schemas.openxmlformats.org/officeDocument/2006/relationships/hyperlink" Target="https://www.linkedin.com/company/burberry/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company/nvidia/" TargetMode="External" Id="rId1" /><Relationship Type="http://schemas.openxmlformats.org/officeDocument/2006/relationships/hyperlink" Target="https://www.linkedin.com/company/meta/" TargetMode="External" Id="rId2" /><Relationship Type="http://schemas.openxmlformats.org/officeDocument/2006/relationships/hyperlink" Target="https://www.linkedin.com/showcase/microsoftresearch/" TargetMode="External" Id="rId3" /><Relationship Type="http://schemas.openxmlformats.org/officeDocument/2006/relationships/hyperlink" Target="https://www.linkedin.com/showcase/amazonscience/" TargetMode="External" Id="rId4" /><Relationship Type="http://schemas.openxmlformats.org/officeDocument/2006/relationships/hyperlink" Target="https://www.linkedin.com/company/openai/" TargetMode="External" Id="rId5" /><Relationship Type="http://schemas.openxmlformats.org/officeDocument/2006/relationships/hyperlink" Target="https://www.linkedin.com/company/googledeepmind/" TargetMode="External" Id="rId6" /><Relationship Type="http://schemas.openxmlformats.org/officeDocument/2006/relationships/hyperlink" Target="https://www.linkedin.com/company/anthropic/" TargetMode="External" Id="rId7" /><Relationship Type="http://schemas.openxmlformats.org/officeDocument/2006/relationships/hyperlink" Target="https://www.linkedin.com/company/xai/" TargetMode="External" Id="rId8" /><Relationship Type="http://schemas.openxmlformats.org/officeDocument/2006/relationships/hyperlink" Target="https://www.linkedin.com/company/allen-ai/" TargetMode="External" Id="rId9" /><Relationship Type="http://schemas.openxmlformats.org/officeDocument/2006/relationships/hyperlink" Target="https://www.linkedin.com/school/mila-quebec/" TargetMode="External" Id="rId10" /><Relationship Type="http://schemas.openxmlformats.org/officeDocument/2006/relationships/hyperlink" Target="https://www.linkedin.com/company/lawzero/" TargetMode="External" Id="rId11" /><Relationship Type="http://schemas.openxmlformats.org/officeDocument/2006/relationships/hyperlink" Target="https://www.linkedin.com/company/huggingface/" TargetMode="External" Id="rId12" /><Relationship Type="http://schemas.openxmlformats.org/officeDocument/2006/relationships/hyperlink" Target="https://www.linkedin.com/company/midjourney/" TargetMode="External" Id="rId13" /><Relationship Type="http://schemas.openxmlformats.org/officeDocument/2006/relationships/hyperlink" Target="https://www.linkedin.com/company/cohere-ai/" TargetMode="External" Id="rId14" /><Relationship Type="http://schemas.openxmlformats.org/officeDocument/2006/relationships/hyperlink" Target="https://www.linkedin.com/company/perplexity-ai/" TargetMode="External" Id="rId15" /><Relationship Type="http://schemas.openxmlformats.org/officeDocument/2006/relationships/hyperlink" Target="https://www.linkedin.com/company/mistralai/" TargetMode="External" Id="rId16" /><Relationship Type="http://schemas.openxmlformats.org/officeDocument/2006/relationships/hyperlink" Target="http://character.ai" TargetMode="External" Id="rId17" /><Relationship Type="http://schemas.openxmlformats.org/officeDocument/2006/relationships/hyperlink" Target="https://www.linkedin.com/company/character-ai/" TargetMode="External" Id="rId18" /><Relationship Type="http://schemas.openxmlformats.org/officeDocument/2006/relationships/hyperlink" Target="https://www.linkedin.com/company/ai21/" TargetMode="External" Id="rId19" /><Relationship Type="http://schemas.openxmlformats.org/officeDocument/2006/relationships/hyperlink" Target="https://www.linkedin.com/company/baidu-usa/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company/patagonia_2/" TargetMode="External" Id="rId1" /><Relationship Type="http://schemas.openxmlformats.org/officeDocument/2006/relationships/hyperlink" Target="https://www.linkedin.com/company/the-north-face/" TargetMode="External" Id="rId2" /><Relationship Type="http://schemas.openxmlformats.org/officeDocument/2006/relationships/hyperlink" Target="https://www.linkedin.com/company/yeti/" TargetMode="External" Id="rId3" /><Relationship Type="http://schemas.openxmlformats.org/officeDocument/2006/relationships/hyperlink" Target="https://www.linkedin.com/company/hydro-flask/" TargetMode="External" Id="rId4" /><Relationship Type="http://schemas.openxmlformats.org/officeDocument/2006/relationships/hyperlink" Target="https://www.linkedin.com/company/new-york-philharmonic/" TargetMode="External" Id="rId5" /><Relationship Type="http://schemas.openxmlformats.org/officeDocument/2006/relationships/hyperlink" Target="https://www.linkedin.com/company/london-symphony-orchestra/" TargetMode="External" Id="rId6" /><Relationship Type="http://schemas.openxmlformats.org/officeDocument/2006/relationships/hyperlink" Target="https://www.linkedin.com/company/museo-nacional-del-prado/" TargetMode="External" Id="rId7" /><Relationship Type="http://schemas.openxmlformats.org/officeDocument/2006/relationships/hyperlink" Target="https://www.linkedin.com/company/the-british-museum/" TargetMode="External" Id="rId8" /><Relationship Type="http://schemas.openxmlformats.org/officeDocument/2006/relationships/hyperlink" Target="https://www.linkedin.com/company/crocsinc/" TargetMode="External" Id="rId9" /><Relationship Type="http://schemas.openxmlformats.org/officeDocument/2006/relationships/hyperlink" Target="https://www.linkedin.com/company/lvmh/" TargetMode="External" Id="rId10" /><Relationship Type="http://schemas.openxmlformats.org/officeDocument/2006/relationships/hyperlink" Target="https://www.linkedin.com/company/harpercollins/" TargetMode="External" Id="rId11" /><Relationship Type="http://schemas.openxmlformats.org/officeDocument/2006/relationships/hyperlink" Target="https://www.linkedin.com/company/penguin-random-house-publishing/" TargetMode="External" Id="rId12" /><Relationship Type="http://schemas.openxmlformats.org/officeDocument/2006/relationships/hyperlink" Target="https://www.linkedin.com/company/sierra-nevada-brewing-co-/" TargetMode="External" Id="rId13" /><Relationship Type="http://schemas.openxmlformats.org/officeDocument/2006/relationships/hyperlink" Target="https://www.linkedin.com/company/the-coca-cola-company/" TargetMode="External" Id="rId14" /><Relationship Type="http://schemas.openxmlformats.org/officeDocument/2006/relationships/hyperlink" Target="https://www.linkedin.com/company/jotun/" TargetMode="External" Id="rId15" /><Relationship Type="http://schemas.openxmlformats.org/officeDocument/2006/relationships/hyperlink" Target="https://www.linkedin.com/company/sherwin-williams/" TargetMode="External" Id="rId16" /><Relationship Type="http://schemas.openxmlformats.org/officeDocument/2006/relationships/hyperlink" Target="https://www.linkedin.com/company/desigual/" TargetMode="External" Id="rId17" /><Relationship Type="http://schemas.openxmlformats.org/officeDocument/2006/relationships/hyperlink" Target="https://www.linkedin.com/company/burberry/" TargetMode="External" Id="rId1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9"/>
  <sheetViews>
    <sheetView workbookViewId="0">
      <selection activeCell="A1" sqref="A1"/>
    </sheetView>
  </sheetViews>
  <sheetFormatPr baseColWidth="8" defaultColWidth="12.63" defaultRowHeight="15.75" customHeight="1"/>
  <cols>
    <col width="35.5" customWidth="1" style="22" min="4" max="4"/>
    <col width="35.25" customWidth="1" style="22" min="5" max="5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Companies</t>
        </is>
      </c>
      <c r="D1" s="2" t="inlineStr">
        <is>
          <t>no linkedins</t>
        </is>
      </c>
      <c r="E1" s="2" t="inlineStr">
        <is>
          <t>LinkedIn URL</t>
        </is>
      </c>
      <c r="F1" s="3" t="inlineStr">
        <is>
          <t>Total Headcount</t>
        </is>
      </c>
      <c r="G1" s="3" t="inlineStr">
        <is>
          <t>filter_broad_yes</t>
        </is>
      </c>
      <c r="H1" s="3" t="inlineStr">
        <is>
          <t>filter_strict_no</t>
        </is>
      </c>
      <c r="I1" s="3" t="inlineStr">
        <is>
          <t>filter_broad_yes_strict_no</t>
        </is>
      </c>
      <c r="J1" s="3" t="inlineStr">
        <is>
          <t>filter_non_english_keywords_CV</t>
        </is>
      </c>
    </row>
    <row r="2">
      <c r="A2" s="2" t="inlineStr">
        <is>
          <t>comparator_1</t>
        </is>
      </c>
      <c r="B2" s="2" t="inlineStr">
        <is>
          <t>AI Orgs</t>
        </is>
      </c>
      <c r="C2" s="2" t="inlineStr">
        <is>
          <t>NVIDIA</t>
        </is>
      </c>
      <c r="D2" s="4" t="inlineStr">
        <is>
          <t>https://research.nvidia.com/research-labs</t>
        </is>
      </c>
      <c r="E2" s="4" t="inlineStr">
        <is>
          <t>https://www.linkedin.com/company/nvidia/</t>
        </is>
      </c>
      <c r="F2" s="5" t="n">
        <v>43000</v>
      </c>
      <c r="G2" s="6" t="n">
        <v>3500</v>
      </c>
      <c r="H2" s="6" t="n">
        <v>2500</v>
      </c>
      <c r="I2" s="5" t="n">
        <v>974</v>
      </c>
      <c r="J2" s="5" t="n">
        <v>27000</v>
      </c>
    </row>
    <row r="3">
      <c r="A3" s="2" t="inlineStr">
        <is>
          <t>comparator_2</t>
        </is>
      </c>
      <c r="B3" s="2" t="inlineStr">
        <is>
          <t>AI Orgs</t>
        </is>
      </c>
      <c r="C3" s="2" t="inlineStr">
        <is>
          <t>Meta</t>
        </is>
      </c>
      <c r="D3" s="2" t="n"/>
      <c r="E3" s="7" t="inlineStr">
        <is>
          <t>https://www.linkedin.com/company/meta/</t>
        </is>
      </c>
      <c r="F3" s="5" t="n">
        <v>70000</v>
      </c>
      <c r="G3" s="5" t="n">
        <v>8800</v>
      </c>
      <c r="H3" s="5" t="n">
        <v>4200</v>
      </c>
      <c r="I3" s="5" t="n">
        <v>2100</v>
      </c>
      <c r="J3" s="5" t="n">
        <v>39000</v>
      </c>
    </row>
    <row r="4">
      <c r="A4" s="2" t="inlineStr">
        <is>
          <t>comparator_3</t>
        </is>
      </c>
      <c r="B4" s="2" t="inlineStr">
        <is>
          <t>AI Orgs</t>
        </is>
      </c>
      <c r="C4" s="2" t="inlineStr">
        <is>
          <t>Microsoft</t>
        </is>
      </c>
      <c r="D4" s="2" t="n"/>
      <c r="E4" s="7" t="inlineStr">
        <is>
          <t>https://www.linkedin.com/showcase/microsoftresearch/</t>
        </is>
      </c>
      <c r="F4" s="5" t="n">
        <v>22000</v>
      </c>
      <c r="G4" s="5" t="n">
        <v>8200</v>
      </c>
      <c r="H4" s="5" t="n">
        <v>4500</v>
      </c>
      <c r="I4" s="5" t="n">
        <v>1200</v>
      </c>
      <c r="J4" s="5" t="n">
        <v>80000</v>
      </c>
    </row>
    <row r="5">
      <c r="A5" s="2" t="inlineStr">
        <is>
          <t>comparator_4</t>
        </is>
      </c>
      <c r="B5" s="2" t="inlineStr">
        <is>
          <t>AI Orgs</t>
        </is>
      </c>
      <c r="C5" s="2" t="inlineStr">
        <is>
          <t>Amazon</t>
        </is>
      </c>
      <c r="D5" s="2" t="n"/>
      <c r="E5" s="7" t="inlineStr">
        <is>
          <t>https://www.linkedin.com/showcase/amazonscience/</t>
        </is>
      </c>
      <c r="F5" s="5" t="n">
        <v>540000</v>
      </c>
      <c r="G5" s="5" t="n">
        <v>11000</v>
      </c>
      <c r="H5" s="5" t="n">
        <v>6700</v>
      </c>
      <c r="I5" s="5" t="n">
        <v>1600</v>
      </c>
      <c r="J5" s="5" t="n">
        <v>140000</v>
      </c>
    </row>
    <row r="6">
      <c r="A6" s="2" t="inlineStr">
        <is>
          <t>comparator_5</t>
        </is>
      </c>
      <c r="B6" s="2" t="inlineStr">
        <is>
          <t>AI Orgs</t>
        </is>
      </c>
      <c r="C6" s="2" t="inlineStr">
        <is>
          <t xml:space="preserve">OpenAI </t>
        </is>
      </c>
      <c r="D6" s="2" t="n"/>
      <c r="E6" s="7" t="inlineStr">
        <is>
          <t>https://www.linkedin.com/company/openai/</t>
        </is>
      </c>
      <c r="F6" s="5" t="n">
        <v>6500</v>
      </c>
      <c r="G6" s="5" t="n">
        <v>671</v>
      </c>
      <c r="H6" s="5" t="n">
        <v>391</v>
      </c>
      <c r="I6" s="5" t="n">
        <v>175</v>
      </c>
      <c r="J6" s="5" t="n">
        <v>3200</v>
      </c>
    </row>
    <row r="7">
      <c r="A7" s="2" t="inlineStr">
        <is>
          <t>comparator_6</t>
        </is>
      </c>
      <c r="B7" s="2" t="inlineStr">
        <is>
          <t>AI Orgs</t>
        </is>
      </c>
      <c r="C7" s="2" t="inlineStr">
        <is>
          <t>Google DeepMind</t>
        </is>
      </c>
      <c r="D7" s="2" t="n"/>
      <c r="E7" s="7" t="inlineStr">
        <is>
          <t>https://www.linkedin.com/company/googledeepmind/</t>
        </is>
      </c>
      <c r="F7" s="5" t="n">
        <v>6500</v>
      </c>
      <c r="G7" s="5" t="n">
        <v>1900</v>
      </c>
      <c r="H7" s="5" t="n">
        <v>1100</v>
      </c>
      <c r="I7" s="5" t="n">
        <v>801</v>
      </c>
      <c r="J7" s="5" t="n">
        <v>3500</v>
      </c>
    </row>
    <row r="8">
      <c r="A8" s="2" t="inlineStr">
        <is>
          <t>comparator_7</t>
        </is>
      </c>
      <c r="B8" s="2" t="inlineStr">
        <is>
          <t>AI Orgs</t>
        </is>
      </c>
      <c r="C8" s="2" t="inlineStr">
        <is>
          <t>Anthropic</t>
        </is>
      </c>
      <c r="D8" s="2" t="n"/>
      <c r="E8" s="7" t="inlineStr">
        <is>
          <t>https://www.linkedin.com/company/anthropic/</t>
        </is>
      </c>
      <c r="F8" s="5" t="n">
        <v>2000</v>
      </c>
      <c r="G8" s="5" t="n">
        <v>276</v>
      </c>
      <c r="H8" s="5" t="n">
        <v>140</v>
      </c>
      <c r="I8" s="5" t="n">
        <v>76</v>
      </c>
      <c r="J8" s="5" t="n">
        <v>1200</v>
      </c>
    </row>
    <row r="9">
      <c r="A9" s="2" t="inlineStr">
        <is>
          <t>comparator_8</t>
        </is>
      </c>
      <c r="B9" s="2" t="inlineStr">
        <is>
          <t>AI Orgs</t>
        </is>
      </c>
      <c r="C9" s="2" t="inlineStr">
        <is>
          <t>xAI</t>
        </is>
      </c>
      <c r="D9" s="2" t="n"/>
      <c r="E9" s="7" t="inlineStr">
        <is>
          <t>https://www.linkedin.com/company/xai/</t>
        </is>
      </c>
      <c r="F9" s="5" t="n">
        <v>3000</v>
      </c>
      <c r="G9" s="5" t="n">
        <v>177</v>
      </c>
      <c r="H9" s="5" t="n">
        <v>83</v>
      </c>
      <c r="I9" s="5" t="n">
        <v>42</v>
      </c>
      <c r="J9" s="5" t="n">
        <v>725</v>
      </c>
    </row>
    <row r="10">
      <c r="A10" s="2" t="inlineStr">
        <is>
          <t>comparator_9</t>
        </is>
      </c>
      <c r="B10" s="2" t="inlineStr">
        <is>
          <t>AI Orgs</t>
        </is>
      </c>
      <c r="C10" s="2" t="inlineStr">
        <is>
          <t>AI2</t>
        </is>
      </c>
      <c r="D10" s="2" t="n"/>
      <c r="E10" s="7" t="inlineStr">
        <is>
          <t>https://www.linkedin.com/company/allen-ai/</t>
        </is>
      </c>
      <c r="F10" s="5" t="n">
        <v>313</v>
      </c>
      <c r="G10" s="5" t="n">
        <v>103</v>
      </c>
      <c r="H10" s="5" t="n">
        <v>52</v>
      </c>
      <c r="I10" s="5" t="n">
        <v>40</v>
      </c>
      <c r="J10" s="5" t="n">
        <v>179</v>
      </c>
    </row>
    <row r="11">
      <c r="A11" s="2" t="inlineStr">
        <is>
          <t>comparator_10</t>
        </is>
      </c>
      <c r="B11" s="2" t="inlineStr">
        <is>
          <t>AI Orgs</t>
        </is>
      </c>
      <c r="C11" s="2" t="inlineStr">
        <is>
          <t>Mila-Quebec Artificial Intelligence Institute</t>
        </is>
      </c>
      <c r="D11" s="2" t="n"/>
      <c r="E11" s="7" t="inlineStr">
        <is>
          <t>https://www.linkedin.com/school/mila-quebec/</t>
        </is>
      </c>
      <c r="F11" s="5" t="n">
        <v>872</v>
      </c>
      <c r="G11" s="5" t="n">
        <v>424</v>
      </c>
      <c r="H11" s="5" t="n">
        <v>163</v>
      </c>
      <c r="I11" s="5" t="n">
        <v>130</v>
      </c>
      <c r="J11" s="5" t="n">
        <v>682</v>
      </c>
    </row>
    <row r="12">
      <c r="A12" s="2" t="inlineStr">
        <is>
          <t>comparator_11</t>
        </is>
      </c>
      <c r="B12" s="2" t="inlineStr">
        <is>
          <t>AI Orgs</t>
        </is>
      </c>
      <c r="C12" s="2" t="inlineStr">
        <is>
          <t>Law Zero</t>
        </is>
      </c>
      <c r="D12" s="2" t="n"/>
      <c r="E12" s="7" t="inlineStr">
        <is>
          <t>https://www.linkedin.com/company/lawzero/</t>
        </is>
      </c>
      <c r="F12" s="5" t="n">
        <v>11</v>
      </c>
      <c r="G12" s="5" t="n">
        <v>4</v>
      </c>
      <c r="H12" s="5" t="n">
        <v>2</v>
      </c>
      <c r="I12" s="5" t="n">
        <v>1</v>
      </c>
      <c r="J12" s="5" t="n">
        <v>7</v>
      </c>
    </row>
    <row r="13">
      <c r="A13" s="2" t="inlineStr">
        <is>
          <t>comparator_12</t>
        </is>
      </c>
      <c r="B13" s="2" t="inlineStr">
        <is>
          <t>AI Orgs</t>
        </is>
      </c>
      <c r="C13" s="2" t="inlineStr">
        <is>
          <t>Thinking Machines Lab</t>
        </is>
      </c>
      <c r="D13" s="7" t="inlineStr">
        <is>
          <t>https://thinkingmachines.ai/</t>
        </is>
      </c>
      <c r="E13" s="2" t="n"/>
      <c r="F13" s="5" t="n">
        <v>67</v>
      </c>
      <c r="G13" s="5" t="n">
        <v>22</v>
      </c>
      <c r="H13" s="5" t="n">
        <v>15</v>
      </c>
      <c r="I13" s="5" t="n">
        <v>12</v>
      </c>
      <c r="J13" s="5" t="n">
        <v>40</v>
      </c>
    </row>
    <row r="14">
      <c r="A14" s="2" t="inlineStr">
        <is>
          <t>comparator_13</t>
        </is>
      </c>
      <c r="B14" s="2" t="inlineStr">
        <is>
          <t>AI Orgs</t>
        </is>
      </c>
      <c r="C14" s="2" t="inlineStr">
        <is>
          <t>Hugging Face</t>
        </is>
      </c>
      <c r="D14" s="2" t="n"/>
      <c r="E14" s="7" t="inlineStr">
        <is>
          <t>https://www.linkedin.com/company/huggingface/</t>
        </is>
      </c>
      <c r="F14" s="5" t="n">
        <v>603</v>
      </c>
      <c r="G14" s="5" t="n">
        <v>91</v>
      </c>
      <c r="H14" s="5" t="n">
        <v>48</v>
      </c>
      <c r="I14" s="5" t="n">
        <v>14</v>
      </c>
      <c r="J14" s="5" t="n">
        <v>217</v>
      </c>
    </row>
    <row r="15">
      <c r="A15" s="2" t="inlineStr">
        <is>
          <t>comparator_14</t>
        </is>
      </c>
      <c r="B15" s="2" t="inlineStr">
        <is>
          <t>AI Orgs</t>
        </is>
      </c>
      <c r="C15" s="2" t="inlineStr">
        <is>
          <t>Midjourney</t>
        </is>
      </c>
      <c r="D15" s="2" t="n"/>
      <c r="E15" s="7" t="inlineStr">
        <is>
          <t>https://www.linkedin.com/company/midjourney/</t>
        </is>
      </c>
      <c r="F15" s="5" t="n">
        <v>171</v>
      </c>
      <c r="G15" s="5" t="n">
        <v>16</v>
      </c>
      <c r="H15" s="5" t="n">
        <v>15</v>
      </c>
      <c r="I15" s="5" t="n">
        <v>7</v>
      </c>
      <c r="J15" s="5" t="n">
        <v>79</v>
      </c>
    </row>
    <row r="16">
      <c r="A16" s="2" t="inlineStr">
        <is>
          <t>comparator_15</t>
        </is>
      </c>
      <c r="B16" s="2" t="inlineStr">
        <is>
          <t>AI Orgs</t>
        </is>
      </c>
      <c r="C16" s="2" t="inlineStr">
        <is>
          <t>Cohere</t>
        </is>
      </c>
      <c r="D16" s="2" t="n"/>
      <c r="E16" s="8" t="inlineStr">
        <is>
          <t>https://www.linkedin.com/company/cohere-ai/</t>
        </is>
      </c>
      <c r="F16" s="5" t="n">
        <v>810</v>
      </c>
      <c r="G16" s="5" t="n">
        <v>183</v>
      </c>
      <c r="H16" s="5" t="n">
        <v>73</v>
      </c>
      <c r="I16" s="5" t="n">
        <v>42</v>
      </c>
      <c r="J16" s="5" t="n">
        <v>494</v>
      </c>
    </row>
    <row r="17">
      <c r="A17" s="2" t="inlineStr">
        <is>
          <t>comparator_16</t>
        </is>
      </c>
      <c r="B17" s="2" t="inlineStr">
        <is>
          <t>AI Orgs</t>
        </is>
      </c>
      <c r="C17" s="2" t="inlineStr">
        <is>
          <t>Perplexity AI</t>
        </is>
      </c>
      <c r="D17" s="2" t="n"/>
      <c r="E17" s="7" t="inlineStr">
        <is>
          <t>https://www.linkedin.com/company/perplexity-ai/</t>
        </is>
      </c>
      <c r="F17" s="5" t="n">
        <v>1000</v>
      </c>
      <c r="G17" s="5" t="n">
        <v>135</v>
      </c>
      <c r="H17" s="5" t="n">
        <v>25</v>
      </c>
      <c r="I17" s="5" t="n">
        <v>7</v>
      </c>
      <c r="J17" s="5" t="n">
        <v>532</v>
      </c>
    </row>
    <row r="18">
      <c r="A18" s="2" t="inlineStr">
        <is>
          <t>comparator_17</t>
        </is>
      </c>
      <c r="B18" s="2" t="inlineStr">
        <is>
          <t>AI Orgs</t>
        </is>
      </c>
      <c r="C18" s="2" t="inlineStr">
        <is>
          <t>Mistral AI</t>
        </is>
      </c>
      <c r="D18" s="2" t="n"/>
      <c r="E18" s="7" t="inlineStr">
        <is>
          <t>https://www.linkedin.com/company/mistralai/</t>
        </is>
      </c>
      <c r="F18" s="5" t="n">
        <v>440</v>
      </c>
      <c r="G18" s="5" t="n">
        <v>80</v>
      </c>
      <c r="H18" s="5" t="n">
        <v>52</v>
      </c>
      <c r="I18" s="5" t="n">
        <v>32</v>
      </c>
      <c r="J18" s="5" t="n">
        <v>305</v>
      </c>
    </row>
    <row r="19">
      <c r="A19" s="2" t="inlineStr">
        <is>
          <t>comparator_18</t>
        </is>
      </c>
      <c r="B19" s="2" t="inlineStr">
        <is>
          <t>AI Orgs</t>
        </is>
      </c>
      <c r="C19" s="7" t="inlineStr">
        <is>
          <t>Character.AI</t>
        </is>
      </c>
      <c r="D19" s="2" t="n"/>
      <c r="E19" s="7" t="inlineStr">
        <is>
          <t>https://www.linkedin.com/company/character-ai/</t>
        </is>
      </c>
      <c r="F19" s="5" t="n">
        <v>207</v>
      </c>
      <c r="G19" s="5" t="n">
        <v>20</v>
      </c>
      <c r="H19" s="5" t="n">
        <v>9</v>
      </c>
      <c r="I19" s="5" t="n">
        <v>3</v>
      </c>
      <c r="J19" s="5" t="n">
        <v>68</v>
      </c>
    </row>
    <row r="20">
      <c r="A20" s="2" t="inlineStr">
        <is>
          <t>comparator_19</t>
        </is>
      </c>
      <c r="B20" s="2" t="inlineStr">
        <is>
          <t>AI Orgs</t>
        </is>
      </c>
      <c r="C20" s="2" t="inlineStr">
        <is>
          <t>AI21 Labs</t>
        </is>
      </c>
      <c r="D20" s="2" t="n"/>
      <c r="E20" s="7" t="inlineStr">
        <is>
          <t>https://www.linkedin.com/company/ai21/</t>
        </is>
      </c>
      <c r="F20" s="5" t="n">
        <v>250</v>
      </c>
      <c r="G20" s="5" t="n">
        <v>17</v>
      </c>
      <c r="H20" s="5" t="n">
        <v>24</v>
      </c>
      <c r="I20" s="5" t="n">
        <v>8</v>
      </c>
      <c r="J20" s="5" t="n">
        <v>34</v>
      </c>
    </row>
    <row r="21">
      <c r="A21" s="2" t="inlineStr">
        <is>
          <t>comparator_20</t>
        </is>
      </c>
      <c r="B21" s="2" t="inlineStr">
        <is>
          <t>AI Orgs</t>
        </is>
      </c>
      <c r="C21" s="2" t="inlineStr">
        <is>
          <t>Baidu Research (Baidu USA)</t>
        </is>
      </c>
      <c r="D21" s="2" t="n"/>
      <c r="E21" s="7" t="inlineStr">
        <is>
          <t>https://www.linkedin.com/company/baidu-usa/</t>
        </is>
      </c>
      <c r="F21" s="5" t="n">
        <v>238</v>
      </c>
      <c r="G21" s="5" t="n">
        <v>14</v>
      </c>
      <c r="H21" s="5" t="n">
        <v>7</v>
      </c>
      <c r="I21" s="5" t="n">
        <v>3</v>
      </c>
      <c r="J21" s="5" t="n">
        <v>73</v>
      </c>
    </row>
    <row r="22">
      <c r="A22" s="2" t="inlineStr">
        <is>
          <t>comparator_21</t>
        </is>
      </c>
      <c r="B22" s="2" t="inlineStr">
        <is>
          <t>NON AI Orgs</t>
        </is>
      </c>
      <c r="C22" s="2" t="inlineStr">
        <is>
          <t>Patagonia</t>
        </is>
      </c>
      <c r="D22" s="2" t="n"/>
      <c r="E22" s="7" t="inlineStr">
        <is>
          <t>https://www.linkedin.com/company/patagonia_2/</t>
        </is>
      </c>
      <c r="F22" s="5" t="n">
        <v>3500</v>
      </c>
      <c r="G22" s="5" t="n">
        <v>0</v>
      </c>
      <c r="H22" s="5" t="n">
        <v>1</v>
      </c>
      <c r="I22" s="5" t="n">
        <v>0</v>
      </c>
      <c r="J22" s="5" t="n">
        <v>816</v>
      </c>
    </row>
    <row r="23">
      <c r="A23" s="2" t="inlineStr">
        <is>
          <t>comparator_22</t>
        </is>
      </c>
      <c r="B23" s="2" t="inlineStr">
        <is>
          <t>NON AI Orgs</t>
        </is>
      </c>
      <c r="C23" s="2" t="inlineStr">
        <is>
          <t>The North Face</t>
        </is>
      </c>
      <c r="D23" s="2" t="n"/>
      <c r="E23" s="7" t="inlineStr">
        <is>
          <t>https://www.linkedin.com/company/the-north-face/</t>
        </is>
      </c>
      <c r="F23" s="5" t="n">
        <v>4500</v>
      </c>
      <c r="G23" s="5" t="n">
        <v>2</v>
      </c>
      <c r="H23" s="5" t="n">
        <v>0</v>
      </c>
      <c r="I23" s="5" t="n">
        <v>0</v>
      </c>
      <c r="J23" s="5" t="n">
        <v>1100</v>
      </c>
    </row>
    <row r="24">
      <c r="A24" s="2" t="inlineStr">
        <is>
          <t>comparator_23</t>
        </is>
      </c>
      <c r="B24" s="2" t="inlineStr">
        <is>
          <t>NON AI Orgs</t>
        </is>
      </c>
      <c r="C24" s="2" t="inlineStr">
        <is>
          <t>YETI</t>
        </is>
      </c>
      <c r="D24" s="2" t="n"/>
      <c r="E24" s="7" t="inlineStr">
        <is>
          <t>https://www.linkedin.com/company/yeti/</t>
        </is>
      </c>
      <c r="F24" s="5" t="n">
        <v>2000</v>
      </c>
      <c r="G24" s="5" t="n">
        <v>5</v>
      </c>
      <c r="H24" s="5" t="n">
        <v>0</v>
      </c>
      <c r="I24" s="5" t="n">
        <v>0</v>
      </c>
      <c r="J24" s="5" t="n">
        <v>359</v>
      </c>
    </row>
    <row r="25">
      <c r="A25" s="2" t="inlineStr">
        <is>
          <t>comparator_24</t>
        </is>
      </c>
      <c r="B25" s="2" t="inlineStr">
        <is>
          <t>NON AI Orgs</t>
        </is>
      </c>
      <c r="C25" s="2" t="inlineStr">
        <is>
          <t>Hydro Flask</t>
        </is>
      </c>
      <c r="D25" s="2" t="n"/>
      <c r="E25" s="7" t="inlineStr">
        <is>
          <t>https://www.linkedin.com/company/hydro-flask/</t>
        </is>
      </c>
      <c r="F25" s="5" t="n">
        <v>135</v>
      </c>
      <c r="G25" s="5" t="n">
        <v>0</v>
      </c>
      <c r="H25" s="5" t="n">
        <v>1</v>
      </c>
      <c r="I25" s="5" t="n">
        <v>0</v>
      </c>
      <c r="J25" s="5" t="n">
        <v>18</v>
      </c>
    </row>
    <row r="26">
      <c r="A26" s="2" t="inlineStr">
        <is>
          <t>comparator_25</t>
        </is>
      </c>
      <c r="B26" s="2" t="inlineStr">
        <is>
          <t>NON AI Orgs</t>
        </is>
      </c>
      <c r="C26" s="2" t="inlineStr">
        <is>
          <t>New York Philharmonic</t>
        </is>
      </c>
      <c r="D26" s="2" t="n"/>
      <c r="E26" s="7" t="inlineStr">
        <is>
          <t>https://www.linkedin.com/company/new-york-philharmonic/</t>
        </is>
      </c>
      <c r="F26" s="5" t="n">
        <v>288</v>
      </c>
      <c r="G26" s="5" t="n">
        <v>0</v>
      </c>
      <c r="H26" s="5" t="n">
        <v>0</v>
      </c>
      <c r="I26" s="5" t="n">
        <v>0</v>
      </c>
      <c r="J26" s="5" t="n">
        <v>75</v>
      </c>
    </row>
    <row r="27">
      <c r="A27" s="2" t="inlineStr">
        <is>
          <t>comparator_26</t>
        </is>
      </c>
      <c r="B27" s="2" t="inlineStr">
        <is>
          <t>NON AI Orgs</t>
        </is>
      </c>
      <c r="C27" s="2" t="inlineStr">
        <is>
          <t>London Symphony Orchestra</t>
        </is>
      </c>
      <c r="D27" s="2" t="n"/>
      <c r="E27" s="7" t="inlineStr">
        <is>
          <t>https://www.linkedin.com/company/london-symphony-orchestra/</t>
        </is>
      </c>
      <c r="F27" s="5" t="n">
        <v>232</v>
      </c>
      <c r="G27" s="5" t="n">
        <v>0</v>
      </c>
      <c r="H27" s="5" t="n">
        <v>0</v>
      </c>
      <c r="I27" s="5" t="n">
        <v>0</v>
      </c>
      <c r="J27" s="5" t="n">
        <v>90</v>
      </c>
    </row>
    <row r="28">
      <c r="A28" s="2" t="inlineStr">
        <is>
          <t>comparator_27</t>
        </is>
      </c>
      <c r="B28" s="2" t="inlineStr">
        <is>
          <t>NON AI Orgs</t>
        </is>
      </c>
      <c r="C28" s="2" t="inlineStr">
        <is>
          <t>Museo Nacional del Prado</t>
        </is>
      </c>
      <c r="D28" s="2" t="n"/>
      <c r="E28" s="7" t="inlineStr">
        <is>
          <t>https://www.linkedin.com/company/museo-nacional-del-prado/</t>
        </is>
      </c>
      <c r="F28" s="5" t="n">
        <v>296</v>
      </c>
      <c r="G28" s="5" t="n">
        <v>0</v>
      </c>
      <c r="H28" s="5" t="n">
        <v>0</v>
      </c>
      <c r="I28" s="5" t="n">
        <v>0</v>
      </c>
      <c r="J28" s="5" t="n">
        <v>202</v>
      </c>
    </row>
    <row r="29">
      <c r="A29" s="2" t="inlineStr">
        <is>
          <t>comparator_28</t>
        </is>
      </c>
      <c r="B29" s="2" t="inlineStr">
        <is>
          <t>NON AI Orgs</t>
        </is>
      </c>
      <c r="C29" s="2" t="inlineStr">
        <is>
          <t>The British Museum</t>
        </is>
      </c>
      <c r="D29" s="2" t="n"/>
      <c r="E29" s="7" t="inlineStr">
        <is>
          <t>https://www.linkedin.com/company/the-british-museum/</t>
        </is>
      </c>
      <c r="F29" s="5" t="n">
        <v>1000</v>
      </c>
      <c r="G29" s="5" t="n">
        <v>0</v>
      </c>
      <c r="H29" s="5" t="n">
        <v>1</v>
      </c>
      <c r="I29" s="5" t="n">
        <v>0</v>
      </c>
      <c r="J29" s="5" t="n">
        <v>573</v>
      </c>
    </row>
    <row r="30">
      <c r="A30" s="2" t="inlineStr">
        <is>
          <t>comparator_29</t>
        </is>
      </c>
      <c r="B30" s="2" t="inlineStr">
        <is>
          <t>NON AI Orgs</t>
        </is>
      </c>
      <c r="C30" s="2" t="inlineStr">
        <is>
          <t>Crocs, Inc.</t>
        </is>
      </c>
      <c r="D30" s="2" t="n"/>
      <c r="E30" s="7" t="inlineStr">
        <is>
          <t>https://www.linkedin.com/company/crocsinc/</t>
        </is>
      </c>
      <c r="F30" s="5" t="n">
        <v>5500</v>
      </c>
      <c r="G30" s="5" t="n">
        <v>3</v>
      </c>
      <c r="H30" s="5" t="n">
        <v>1</v>
      </c>
      <c r="I30" s="5" t="n">
        <v>0</v>
      </c>
      <c r="J30" s="5" t="n">
        <v>962</v>
      </c>
    </row>
    <row r="31">
      <c r="A31" s="2" t="inlineStr">
        <is>
          <t>comparator_30</t>
        </is>
      </c>
      <c r="B31" s="2" t="inlineStr">
        <is>
          <t>NON AI Orgs</t>
        </is>
      </c>
      <c r="C31" s="2" t="inlineStr">
        <is>
          <t>LVMH</t>
        </is>
      </c>
      <c r="D31" s="2" t="n"/>
      <c r="E31" s="7" t="inlineStr">
        <is>
          <t>https://www.linkedin.com/company/lvmh/</t>
        </is>
      </c>
      <c r="F31" s="5" t="n">
        <v>7000</v>
      </c>
      <c r="G31" s="5" t="n">
        <v>17</v>
      </c>
      <c r="H31" s="5" t="n">
        <v>2</v>
      </c>
      <c r="I31" s="5" t="n">
        <v>0</v>
      </c>
      <c r="J31" s="5" t="n">
        <v>2900</v>
      </c>
    </row>
    <row r="32">
      <c r="A32" s="2" t="inlineStr">
        <is>
          <t>comparator_31</t>
        </is>
      </c>
      <c r="B32" s="2" t="inlineStr">
        <is>
          <t>NON AI Orgs</t>
        </is>
      </c>
      <c r="C32" s="2" t="inlineStr">
        <is>
          <t>HarperCollins Publishers</t>
        </is>
      </c>
      <c r="D32" s="2" t="n"/>
      <c r="E32" s="7" t="inlineStr">
        <is>
          <t>https://www.linkedin.com/company/harpercollins/</t>
        </is>
      </c>
      <c r="F32" s="5" t="n">
        <v>4000</v>
      </c>
      <c r="G32" s="5" t="n">
        <v>7</v>
      </c>
      <c r="H32" s="5" t="n">
        <v>8</v>
      </c>
      <c r="I32" s="5" t="n">
        <v>0</v>
      </c>
      <c r="J32" s="5" t="n">
        <v>1300</v>
      </c>
    </row>
    <row r="33">
      <c r="A33" s="2" t="inlineStr">
        <is>
          <t>comparator_32</t>
        </is>
      </c>
      <c r="B33" s="2" t="inlineStr">
        <is>
          <t>NON AI Orgs</t>
        </is>
      </c>
      <c r="C33" s="2" t="inlineStr">
        <is>
          <t>Penguin Random House</t>
        </is>
      </c>
      <c r="D33" s="2" t="n"/>
      <c r="E33" s="7" t="inlineStr">
        <is>
          <t>https://www.linkedin.com/company/penguin-random-house-publishing/</t>
        </is>
      </c>
      <c r="F33" s="5" t="n">
        <v>8000</v>
      </c>
      <c r="G33" s="5" t="n">
        <v>18</v>
      </c>
      <c r="H33" s="5" t="n">
        <v>9</v>
      </c>
      <c r="I33" s="5" t="n">
        <v>1</v>
      </c>
      <c r="J33" s="5" t="n">
        <v>2400</v>
      </c>
    </row>
    <row r="34">
      <c r="A34" s="2" t="inlineStr">
        <is>
          <t>comparator_33</t>
        </is>
      </c>
      <c r="B34" s="2" t="inlineStr">
        <is>
          <t>NON AI Orgs</t>
        </is>
      </c>
      <c r="C34" s="2" t="inlineStr">
        <is>
          <t>Sierra Nevada Brewing Co.</t>
        </is>
      </c>
      <c r="D34" s="2" t="n"/>
      <c r="E34" s="7" t="inlineStr">
        <is>
          <t>https://www.linkedin.com/company/sierra-nevada-brewing-co-/</t>
        </is>
      </c>
      <c r="F34" s="5" t="n">
        <v>769</v>
      </c>
      <c r="G34" s="5" t="n">
        <v>0</v>
      </c>
      <c r="H34" s="5" t="n">
        <v>0</v>
      </c>
      <c r="I34" s="5" t="n">
        <v>0</v>
      </c>
      <c r="J34" s="5" t="n">
        <v>247</v>
      </c>
    </row>
    <row r="35">
      <c r="A35" s="2" t="inlineStr">
        <is>
          <t>comparator_34</t>
        </is>
      </c>
      <c r="B35" s="2" t="inlineStr">
        <is>
          <t>NON AI Orgs</t>
        </is>
      </c>
      <c r="C35" s="2" t="inlineStr">
        <is>
          <t>The Coca-Cola Company</t>
        </is>
      </c>
      <c r="D35" s="2" t="n"/>
      <c r="E35" s="7" t="inlineStr">
        <is>
          <t>https://www.linkedin.com/company/the-coca-cola-company/</t>
        </is>
      </c>
      <c r="F35" s="5" t="n">
        <v>60000</v>
      </c>
      <c r="G35" s="5" t="n">
        <v>68</v>
      </c>
      <c r="H35" s="5" t="n">
        <v>31</v>
      </c>
      <c r="I35" s="5" t="n">
        <v>2</v>
      </c>
      <c r="J35" s="5" t="n">
        <v>9500</v>
      </c>
    </row>
    <row r="36">
      <c r="A36" s="2" t="inlineStr">
        <is>
          <t>comparator_35</t>
        </is>
      </c>
      <c r="B36" s="2" t="inlineStr">
        <is>
          <t>NON AI Orgs</t>
        </is>
      </c>
      <c r="C36" s="2" t="inlineStr">
        <is>
          <t>Jotun</t>
        </is>
      </c>
      <c r="D36" s="2" t="n"/>
      <c r="E36" s="7" t="inlineStr">
        <is>
          <t>https://www.linkedin.com/company/jotun/</t>
        </is>
      </c>
      <c r="F36" s="5" t="n">
        <v>6000</v>
      </c>
      <c r="G36" s="5" t="n">
        <v>5</v>
      </c>
      <c r="H36" s="5" t="n">
        <v>1</v>
      </c>
      <c r="I36" s="5" t="n">
        <v>0</v>
      </c>
      <c r="J36" s="5" t="n">
        <v>912</v>
      </c>
    </row>
    <row r="37">
      <c r="A37" s="2" t="inlineStr">
        <is>
          <t>comparator_36</t>
        </is>
      </c>
      <c r="B37" s="2" t="inlineStr">
        <is>
          <t>NON AI Orgs</t>
        </is>
      </c>
      <c r="C37" s="2" t="inlineStr">
        <is>
          <t>Sherwin-Williams</t>
        </is>
      </c>
      <c r="D37" s="2" t="n"/>
      <c r="E37" s="7" t="inlineStr">
        <is>
          <t>https://www.linkedin.com/company/sherwin-williams/</t>
        </is>
      </c>
      <c r="F37" s="5" t="n">
        <v>44000</v>
      </c>
      <c r="G37" s="5" t="n">
        <v>28</v>
      </c>
      <c r="H37" s="5" t="n">
        <v>29</v>
      </c>
      <c r="I37" s="5" t="n">
        <v>2</v>
      </c>
      <c r="J37" s="5" t="n">
        <v>6600</v>
      </c>
    </row>
    <row r="38">
      <c r="A38" s="2" t="inlineStr">
        <is>
          <t>comparator_37</t>
        </is>
      </c>
      <c r="B38" s="2" t="inlineStr">
        <is>
          <t>NON AI Orgs</t>
        </is>
      </c>
      <c r="C38" s="2" t="inlineStr">
        <is>
          <t>Desigual</t>
        </is>
      </c>
      <c r="D38" s="2" t="n"/>
      <c r="E38" s="7" t="inlineStr">
        <is>
          <t>https://www.linkedin.com/company/desigual/</t>
        </is>
      </c>
      <c r="F38" s="5" t="n">
        <v>2500</v>
      </c>
      <c r="G38" s="5" t="n">
        <v>0</v>
      </c>
      <c r="H38" s="5" t="n">
        <v>0</v>
      </c>
      <c r="I38" s="5" t="n">
        <v>0</v>
      </c>
      <c r="J38" s="5" t="n">
        <v>1100</v>
      </c>
    </row>
    <row r="39">
      <c r="A39" s="2" t="inlineStr">
        <is>
          <t>comparator_38</t>
        </is>
      </c>
      <c r="B39" s="2" t="inlineStr">
        <is>
          <t>NON AI Orgs</t>
        </is>
      </c>
      <c r="C39" s="2" t="inlineStr">
        <is>
          <t>Burberry</t>
        </is>
      </c>
      <c r="D39" s="2" t="n"/>
      <c r="E39" s="7" t="inlineStr">
        <is>
          <t>https://www.linkedin.com/company/burberry/</t>
        </is>
      </c>
      <c r="F39" s="5" t="n">
        <v>8500</v>
      </c>
      <c r="G39" s="5" t="n">
        <v>5</v>
      </c>
      <c r="H39" s="5" t="n">
        <v>2</v>
      </c>
      <c r="I39" s="5" t="n">
        <v>0</v>
      </c>
      <c r="J39" s="5" t="n">
        <v>2400</v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E7" r:id="rId7"/>
    <hyperlink xmlns:r="http://schemas.openxmlformats.org/officeDocument/2006/relationships" ref="E8" r:id="rId8"/>
    <hyperlink xmlns:r="http://schemas.openxmlformats.org/officeDocument/2006/relationships" ref="E9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D13" r:id="rId13"/>
    <hyperlink xmlns:r="http://schemas.openxmlformats.org/officeDocument/2006/relationships" ref="E14" r:id="rId14"/>
    <hyperlink xmlns:r="http://schemas.openxmlformats.org/officeDocument/2006/relationships" ref="E15" r:id="rId15"/>
    <hyperlink xmlns:r="http://schemas.openxmlformats.org/officeDocument/2006/relationships" ref="E16" r:id="rId16"/>
    <hyperlink xmlns:r="http://schemas.openxmlformats.org/officeDocument/2006/relationships" ref="E17" r:id="rId17"/>
    <hyperlink xmlns:r="http://schemas.openxmlformats.org/officeDocument/2006/relationships" ref="E18" r:id="rId18"/>
    <hyperlink xmlns:r="http://schemas.openxmlformats.org/officeDocument/2006/relationships" ref="C19" r:id="rId19"/>
    <hyperlink xmlns:r="http://schemas.openxmlformats.org/officeDocument/2006/relationships" ref="E19" r:id="rId20"/>
    <hyperlink xmlns:r="http://schemas.openxmlformats.org/officeDocument/2006/relationships" ref="E20" r:id="rId21"/>
    <hyperlink xmlns:r="http://schemas.openxmlformats.org/officeDocument/2006/relationships" ref="E21" r:id="rId22"/>
    <hyperlink xmlns:r="http://schemas.openxmlformats.org/officeDocument/2006/relationships" ref="E22" r:id="rId23"/>
    <hyperlink xmlns:r="http://schemas.openxmlformats.org/officeDocument/2006/relationships" ref="E23" r:id="rId24"/>
    <hyperlink xmlns:r="http://schemas.openxmlformats.org/officeDocument/2006/relationships" ref="E24" r:id="rId25"/>
    <hyperlink xmlns:r="http://schemas.openxmlformats.org/officeDocument/2006/relationships" ref="E25" r:id="rId26"/>
    <hyperlink xmlns:r="http://schemas.openxmlformats.org/officeDocument/2006/relationships" ref="E26" r:id="rId27"/>
    <hyperlink xmlns:r="http://schemas.openxmlformats.org/officeDocument/2006/relationships" ref="E27" r:id="rId28"/>
    <hyperlink xmlns:r="http://schemas.openxmlformats.org/officeDocument/2006/relationships" ref="E28" r:id="rId29"/>
    <hyperlink xmlns:r="http://schemas.openxmlformats.org/officeDocument/2006/relationships" ref="E29" r:id="rId30"/>
    <hyperlink xmlns:r="http://schemas.openxmlformats.org/officeDocument/2006/relationships" ref="E30" r:id="rId31"/>
    <hyperlink xmlns:r="http://schemas.openxmlformats.org/officeDocument/2006/relationships" ref="E31" r:id="rId32"/>
    <hyperlink xmlns:r="http://schemas.openxmlformats.org/officeDocument/2006/relationships" ref="E32" r:id="rId33"/>
    <hyperlink xmlns:r="http://schemas.openxmlformats.org/officeDocument/2006/relationships" ref="E33" r:id="rId34"/>
    <hyperlink xmlns:r="http://schemas.openxmlformats.org/officeDocument/2006/relationships" ref="E34" r:id="rId35"/>
    <hyperlink xmlns:r="http://schemas.openxmlformats.org/officeDocument/2006/relationships" ref="E35" r:id="rId36"/>
    <hyperlink xmlns:r="http://schemas.openxmlformats.org/officeDocument/2006/relationships" ref="E36" r:id="rId37"/>
    <hyperlink xmlns:r="http://schemas.openxmlformats.org/officeDocument/2006/relationships" ref="E37" r:id="rId38"/>
    <hyperlink xmlns:r="http://schemas.openxmlformats.org/officeDocument/2006/relationships" ref="E38" r:id="rId39"/>
    <hyperlink xmlns:r="http://schemas.openxmlformats.org/officeDocument/2006/relationships" ref="E39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ID</t>
        </is>
      </c>
      <c r="B1" s="10" t="inlineStr">
        <is>
          <t>company</t>
        </is>
      </c>
      <c r="C1" s="10" t="inlineStr">
        <is>
          <t>claude_total_employees</t>
        </is>
      </c>
      <c r="D1" s="10" t="inlineStr">
        <is>
          <t>claude_total_rejected</t>
        </is>
      </c>
      <c r="E1" s="10" t="inlineStr">
        <is>
          <t>claude_total_accepted</t>
        </is>
      </c>
      <c r="F1" s="10" t="inlineStr">
        <is>
          <t>gpt5_total_employees</t>
        </is>
      </c>
      <c r="G1" s="10" t="inlineStr">
        <is>
          <t>gpt5_total_rejected</t>
        </is>
      </c>
      <c r="H1" s="10" t="inlineStr">
        <is>
          <t>gpt5_total_accepted</t>
        </is>
      </c>
      <c r="I1" s="10" t="inlineStr">
        <is>
          <t>gemini_total_employees</t>
        </is>
      </c>
      <c r="J1" s="10" t="inlineStr">
        <is>
          <t>gemini_total_rejected</t>
        </is>
      </c>
      <c r="K1" s="10" t="inlineStr">
        <is>
          <t>gemini_total_accepted</t>
        </is>
      </c>
    </row>
    <row r="2">
      <c r="A2" s="18" t="inlineStr">
        <is>
          <t>comparator_34</t>
        </is>
      </c>
      <c r="B2" s="12" t="inlineStr">
        <is>
          <t>the-coca-cola-company</t>
        </is>
      </c>
      <c r="C2" s="13" t="n">
        <v>31026</v>
      </c>
      <c r="D2" s="13" t="n">
        <v>31023</v>
      </c>
      <c r="E2" s="13" t="n">
        <v>3</v>
      </c>
      <c r="F2" s="13" t="n">
        <v>31014</v>
      </c>
      <c r="G2" s="13" t="n">
        <v>31005</v>
      </c>
      <c r="H2" s="13" t="n">
        <v>9</v>
      </c>
      <c r="I2" s="13" t="n">
        <v>30616</v>
      </c>
      <c r="J2" s="13" t="n">
        <v>30586</v>
      </c>
      <c r="K2" s="13" t="n">
        <v>30</v>
      </c>
    </row>
    <row r="3">
      <c r="A3" s="18" t="inlineStr">
        <is>
          <t>comparator_11</t>
        </is>
      </c>
      <c r="B3" s="12" t="inlineStr">
        <is>
          <t>lawzero</t>
        </is>
      </c>
      <c r="C3" s="13" t="n">
        <v>8</v>
      </c>
      <c r="D3" s="13" t="n">
        <v>4</v>
      </c>
      <c r="E3" s="13" t="n">
        <v>4</v>
      </c>
      <c r="F3" s="13" t="n">
        <v>8</v>
      </c>
      <c r="G3" s="13" t="n">
        <v>3</v>
      </c>
      <c r="H3" s="13" t="n">
        <v>5</v>
      </c>
      <c r="I3" s="13" t="n">
        <v>8</v>
      </c>
      <c r="J3" s="13" t="n">
        <v>3</v>
      </c>
      <c r="K3" s="13" t="n">
        <v>5</v>
      </c>
    </row>
    <row r="4">
      <c r="A4" s="18" t="inlineStr">
        <is>
          <t>comparator_14</t>
        </is>
      </c>
      <c r="B4" s="12" t="inlineStr">
        <is>
          <t>midjourney</t>
        </is>
      </c>
      <c r="C4" s="13" t="n">
        <v>88</v>
      </c>
      <c r="D4" s="13" t="n">
        <v>77</v>
      </c>
      <c r="E4" s="13" t="n">
        <v>11</v>
      </c>
      <c r="F4" s="13" t="n">
        <v>88</v>
      </c>
      <c r="G4" s="13" t="n">
        <v>75</v>
      </c>
      <c r="H4" s="13" t="n">
        <v>13</v>
      </c>
      <c r="I4" s="13" t="n">
        <v>88</v>
      </c>
      <c r="J4" s="13" t="n">
        <v>68</v>
      </c>
      <c r="K4" s="13" t="n">
        <v>20</v>
      </c>
    </row>
    <row r="5">
      <c r="A5" s="18" t="inlineStr">
        <is>
          <t>comparator_24</t>
        </is>
      </c>
      <c r="B5" s="12" t="inlineStr">
        <is>
          <t>hydro-flask</t>
        </is>
      </c>
      <c r="C5" s="13" t="n">
        <v>93</v>
      </c>
      <c r="D5" s="13" t="n">
        <v>93</v>
      </c>
      <c r="E5" s="13" t="n">
        <v>0</v>
      </c>
      <c r="F5" s="13" t="n">
        <v>93</v>
      </c>
      <c r="G5" s="13" t="n">
        <v>93</v>
      </c>
      <c r="H5" s="13" t="n">
        <v>0</v>
      </c>
      <c r="I5" s="13" t="n">
        <v>92</v>
      </c>
      <c r="J5" s="13" t="n">
        <v>92</v>
      </c>
      <c r="K5" s="13" t="n">
        <v>0</v>
      </c>
    </row>
    <row r="6">
      <c r="A6" s="18" t="inlineStr">
        <is>
          <t>comparator_26</t>
        </is>
      </c>
      <c r="B6" s="12" t="inlineStr">
        <is>
          <t>london-symphony-orchestra</t>
        </is>
      </c>
      <c r="C6" s="13" t="n">
        <v>110</v>
      </c>
      <c r="D6" s="13" t="n">
        <v>110</v>
      </c>
      <c r="E6" s="13" t="n">
        <v>0</v>
      </c>
      <c r="F6" s="13" t="n">
        <v>110</v>
      </c>
      <c r="G6" s="13" t="n">
        <v>110</v>
      </c>
      <c r="H6" s="13" t="n">
        <v>0</v>
      </c>
      <c r="I6" s="13" t="n">
        <v>110</v>
      </c>
      <c r="J6" s="13" t="n">
        <v>110</v>
      </c>
      <c r="K6" s="13" t="n">
        <v>0</v>
      </c>
    </row>
    <row r="7">
      <c r="A7" s="18" t="inlineStr">
        <is>
          <t>comparator_27</t>
        </is>
      </c>
      <c r="B7" s="12" t="inlineStr">
        <is>
          <t>museo-nacional-del-prado</t>
        </is>
      </c>
      <c r="C7" s="13" t="n">
        <v>120</v>
      </c>
      <c r="D7" s="13" t="n">
        <v>120</v>
      </c>
      <c r="E7" s="13" t="n">
        <v>0</v>
      </c>
      <c r="F7" s="13" t="n">
        <v>120</v>
      </c>
      <c r="G7" s="13" t="n">
        <v>120</v>
      </c>
      <c r="H7" s="13" t="n">
        <v>0</v>
      </c>
      <c r="I7" s="13" t="n">
        <v>117</v>
      </c>
      <c r="J7" s="13" t="n">
        <v>117</v>
      </c>
      <c r="K7" s="13" t="n">
        <v>0</v>
      </c>
    </row>
    <row r="8">
      <c r="A8" s="18" t="inlineStr">
        <is>
          <t>comparator_18</t>
        </is>
      </c>
      <c r="B8" s="12" t="inlineStr">
        <is>
          <t>character-ai</t>
        </is>
      </c>
      <c r="C8" s="13" t="n">
        <v>132</v>
      </c>
      <c r="D8" s="13" t="n">
        <v>123</v>
      </c>
      <c r="E8" s="13" t="n">
        <v>9</v>
      </c>
      <c r="F8" s="13" t="n">
        <v>132</v>
      </c>
      <c r="G8" s="13" t="n">
        <v>122</v>
      </c>
      <c r="H8" s="13" t="n">
        <v>10</v>
      </c>
      <c r="I8" s="13" t="n">
        <v>132</v>
      </c>
      <c r="J8" s="13" t="n">
        <v>107</v>
      </c>
      <c r="K8" s="13" t="n">
        <v>25</v>
      </c>
    </row>
    <row r="9">
      <c r="A9" s="18" t="inlineStr">
        <is>
          <t>comparator_20</t>
        </is>
      </c>
      <c r="B9" s="12" t="inlineStr">
        <is>
          <t>baidu-usa</t>
        </is>
      </c>
      <c r="C9" s="13" t="n">
        <v>162</v>
      </c>
      <c r="D9" s="13" t="n">
        <v>156</v>
      </c>
      <c r="E9" s="13" t="n">
        <v>6</v>
      </c>
      <c r="F9" s="13" t="n">
        <v>162</v>
      </c>
      <c r="G9" s="13" t="n">
        <v>150</v>
      </c>
      <c r="H9" s="13" t="n">
        <v>12</v>
      </c>
      <c r="I9" s="13" t="n">
        <v>156</v>
      </c>
      <c r="J9" s="13" t="n">
        <v>130</v>
      </c>
      <c r="K9" s="13" t="n">
        <v>26</v>
      </c>
    </row>
    <row r="10">
      <c r="A10" s="18" t="inlineStr">
        <is>
          <t>comparator_25</t>
        </is>
      </c>
      <c r="B10" s="12" t="inlineStr">
        <is>
          <t>new-york-philharmonic</t>
        </is>
      </c>
      <c r="C10" s="13" t="n">
        <v>178</v>
      </c>
      <c r="D10" s="13" t="n">
        <v>178</v>
      </c>
      <c r="E10" s="13" t="n">
        <v>0</v>
      </c>
      <c r="F10" s="13" t="n">
        <v>178</v>
      </c>
      <c r="G10" s="13" t="n">
        <v>178</v>
      </c>
      <c r="H10" s="13" t="n">
        <v>0</v>
      </c>
      <c r="I10" s="13" t="n">
        <v>176</v>
      </c>
      <c r="J10" s="13" t="n">
        <v>176</v>
      </c>
      <c r="K10" s="13" t="n">
        <v>0</v>
      </c>
    </row>
    <row r="11">
      <c r="A11" s="18" t="inlineStr">
        <is>
          <t>comparator_19</t>
        </is>
      </c>
      <c r="B11" s="12" t="inlineStr">
        <is>
          <t>ai21</t>
        </is>
      </c>
      <c r="C11" s="13" t="n">
        <v>221</v>
      </c>
      <c r="D11" s="13" t="n">
        <v>204</v>
      </c>
      <c r="E11" s="13" t="n">
        <v>17</v>
      </c>
      <c r="F11" s="13" t="n">
        <v>221</v>
      </c>
      <c r="G11" s="13" t="n">
        <v>198</v>
      </c>
      <c r="H11" s="13" t="n">
        <v>23</v>
      </c>
      <c r="I11" s="13" t="n">
        <v>218</v>
      </c>
      <c r="J11" s="13" t="n">
        <v>180</v>
      </c>
      <c r="K11" s="13" t="n">
        <v>38</v>
      </c>
    </row>
    <row r="12">
      <c r="A12" s="18" t="inlineStr">
        <is>
          <t>comparator_9</t>
        </is>
      </c>
      <c r="B12" s="12" t="inlineStr">
        <is>
          <t>allen-ai</t>
        </is>
      </c>
      <c r="C12" s="13" t="n">
        <v>255</v>
      </c>
      <c r="D12" s="13" t="n">
        <v>183</v>
      </c>
      <c r="E12" s="13" t="n">
        <v>72</v>
      </c>
      <c r="F12" s="13" t="n">
        <v>255</v>
      </c>
      <c r="G12" s="13" t="n">
        <v>175</v>
      </c>
      <c r="H12" s="13" t="n">
        <v>80</v>
      </c>
      <c r="I12" s="13" t="n">
        <v>252</v>
      </c>
      <c r="J12" s="13" t="n">
        <v>146</v>
      </c>
      <c r="K12" s="13" t="n">
        <v>106</v>
      </c>
    </row>
    <row r="13">
      <c r="A13" s="18" t="inlineStr">
        <is>
          <t>comparator_17</t>
        </is>
      </c>
      <c r="B13" s="12" t="inlineStr">
        <is>
          <t>mistralai</t>
        </is>
      </c>
      <c r="C13" s="13" t="n">
        <v>293</v>
      </c>
      <c r="D13" s="13" t="n">
        <v>232</v>
      </c>
      <c r="E13" s="13" t="n">
        <v>61</v>
      </c>
      <c r="F13" s="13" t="n">
        <v>292</v>
      </c>
      <c r="G13" s="13" t="n">
        <v>219</v>
      </c>
      <c r="H13" s="13" t="n">
        <v>73</v>
      </c>
      <c r="I13" s="13" t="n">
        <v>290</v>
      </c>
      <c r="J13" s="13" t="n">
        <v>190</v>
      </c>
      <c r="K13" s="13" t="n">
        <v>100</v>
      </c>
    </row>
    <row r="14">
      <c r="A14" s="18" t="inlineStr">
        <is>
          <t>comparator_13</t>
        </is>
      </c>
      <c r="B14" s="12" t="inlineStr">
        <is>
          <t>huggingface</t>
        </is>
      </c>
      <c r="C14" s="13" t="n">
        <v>329</v>
      </c>
      <c r="D14" s="13" t="n">
        <v>262</v>
      </c>
      <c r="E14" s="13" t="n">
        <v>67</v>
      </c>
      <c r="F14" s="13" t="n">
        <v>329</v>
      </c>
      <c r="G14" s="13" t="n">
        <v>251</v>
      </c>
      <c r="H14" s="13" t="n">
        <v>78</v>
      </c>
      <c r="I14" s="13" t="n">
        <v>324</v>
      </c>
      <c r="J14" s="13" t="n">
        <v>210</v>
      </c>
      <c r="K14" s="13" t="n">
        <v>114</v>
      </c>
    </row>
    <row r="15">
      <c r="A15" s="18" t="inlineStr">
        <is>
          <t>comparator_16</t>
        </is>
      </c>
      <c r="B15" s="12" t="inlineStr">
        <is>
          <t>perplexity-ai</t>
        </is>
      </c>
      <c r="C15" s="13" t="n">
        <v>569</v>
      </c>
      <c r="D15" s="13" t="n">
        <v>555</v>
      </c>
      <c r="E15" s="13" t="n">
        <v>14</v>
      </c>
      <c r="F15" s="13" t="n">
        <v>569</v>
      </c>
      <c r="G15" s="13" t="n">
        <v>551</v>
      </c>
      <c r="H15" s="13" t="n">
        <v>18</v>
      </c>
      <c r="I15" s="13" t="n">
        <v>564</v>
      </c>
      <c r="J15" s="13" t="n">
        <v>500</v>
      </c>
      <c r="K15" s="13" t="n">
        <v>64</v>
      </c>
    </row>
    <row r="16">
      <c r="A16" s="18" t="inlineStr">
        <is>
          <t>comparator_33</t>
        </is>
      </c>
      <c r="B16" s="12" t="inlineStr">
        <is>
          <t>sierra-nevada-brewing-co-</t>
        </is>
      </c>
      <c r="C16" s="13" t="n">
        <v>627</v>
      </c>
      <c r="D16" s="13" t="n">
        <v>627</v>
      </c>
      <c r="E16" s="13" t="n">
        <v>0</v>
      </c>
      <c r="F16" s="13" t="n">
        <v>627</v>
      </c>
      <c r="G16" s="13" t="n">
        <v>627</v>
      </c>
      <c r="H16" s="13" t="n">
        <v>0</v>
      </c>
      <c r="I16" s="13" t="n">
        <v>624</v>
      </c>
      <c r="J16" s="13" t="n">
        <v>624</v>
      </c>
      <c r="K16" s="13" t="n">
        <v>0</v>
      </c>
    </row>
    <row r="17">
      <c r="A17" s="18" t="inlineStr">
        <is>
          <t>comparator_28</t>
        </is>
      </c>
      <c r="B17" s="12" t="inlineStr">
        <is>
          <t>the-british-museum</t>
        </is>
      </c>
      <c r="C17" s="13" t="n">
        <v>910</v>
      </c>
      <c r="D17" s="13" t="n">
        <v>910</v>
      </c>
      <c r="E17" s="13" t="n">
        <v>0</v>
      </c>
      <c r="F17" s="13" t="n">
        <v>910</v>
      </c>
      <c r="G17" s="13" t="n">
        <v>910</v>
      </c>
      <c r="H17" s="13" t="n">
        <v>0</v>
      </c>
      <c r="I17" s="13" t="n">
        <v>903</v>
      </c>
      <c r="J17" s="13" t="n">
        <v>903</v>
      </c>
      <c r="K17" s="13" t="n">
        <v>0</v>
      </c>
    </row>
    <row r="18">
      <c r="A18" s="18" t="inlineStr">
        <is>
          <t>comparator_8</t>
        </is>
      </c>
      <c r="B18" s="12" t="inlineStr">
        <is>
          <t>xai</t>
        </is>
      </c>
      <c r="C18" s="13" t="n">
        <v>1110</v>
      </c>
      <c r="D18" s="13" t="n">
        <v>1041</v>
      </c>
      <c r="E18" s="13" t="n">
        <v>69</v>
      </c>
      <c r="F18" s="13" t="n">
        <v>1111</v>
      </c>
      <c r="G18" s="13" t="n">
        <v>1027</v>
      </c>
      <c r="H18" s="13" t="n">
        <v>84</v>
      </c>
      <c r="I18" s="13" t="n">
        <v>1096</v>
      </c>
      <c r="J18" s="13" t="n">
        <v>873</v>
      </c>
      <c r="K18" s="13" t="n">
        <v>223</v>
      </c>
    </row>
    <row r="19">
      <c r="A19" s="18" t="inlineStr">
        <is>
          <t>comparator_23</t>
        </is>
      </c>
      <c r="B19" s="12" t="inlineStr">
        <is>
          <t>yeti</t>
        </is>
      </c>
      <c r="C19" s="13" t="n">
        <v>1145</v>
      </c>
      <c r="D19" s="13" t="n">
        <v>1144</v>
      </c>
      <c r="E19" s="13" t="n">
        <v>1</v>
      </c>
      <c r="F19" s="13" t="n">
        <v>1144</v>
      </c>
      <c r="G19" s="13" t="n">
        <v>1144</v>
      </c>
      <c r="H19" s="13" t="n">
        <v>0</v>
      </c>
      <c r="I19" s="13" t="n">
        <v>1132</v>
      </c>
      <c r="J19" s="13" t="n">
        <v>1131</v>
      </c>
      <c r="K19" s="13" t="n">
        <v>1</v>
      </c>
    </row>
    <row r="20">
      <c r="A20" s="18" t="inlineStr">
        <is>
          <t>comparator_37</t>
        </is>
      </c>
      <c r="B20" s="12" t="inlineStr">
        <is>
          <t>desigual</t>
        </is>
      </c>
      <c r="C20" s="13" t="n">
        <v>2259</v>
      </c>
      <c r="D20" s="13" t="n">
        <v>2259</v>
      </c>
      <c r="E20" s="13" t="n">
        <v>0</v>
      </c>
      <c r="F20" s="13" t="n">
        <v>2257</v>
      </c>
      <c r="G20" s="13" t="n">
        <v>2257</v>
      </c>
      <c r="H20" s="13" t="n">
        <v>0</v>
      </c>
      <c r="I20" s="13" t="n">
        <v>2232</v>
      </c>
      <c r="J20" s="13" t="n">
        <v>2231</v>
      </c>
      <c r="K20" s="13" t="n">
        <v>1</v>
      </c>
    </row>
    <row r="21">
      <c r="A21" s="18" t="inlineStr">
        <is>
          <t>comparator_21</t>
        </is>
      </c>
      <c r="B21" s="12" t="inlineStr">
        <is>
          <t>patagonia_2</t>
        </is>
      </c>
      <c r="C21" s="13" t="n">
        <v>2544</v>
      </c>
      <c r="D21" s="13" t="n">
        <v>2544</v>
      </c>
      <c r="E21" s="13" t="n">
        <v>0</v>
      </c>
      <c r="F21" s="13" t="n">
        <v>2542</v>
      </c>
      <c r="G21" s="13" t="n">
        <v>2542</v>
      </c>
      <c r="H21" s="13" t="n">
        <v>0</v>
      </c>
      <c r="I21" s="13" t="n">
        <v>2515</v>
      </c>
      <c r="J21" s="13" t="n">
        <v>2515</v>
      </c>
      <c r="K21" s="13" t="n">
        <v>0</v>
      </c>
    </row>
    <row r="22">
      <c r="A22" s="18" t="inlineStr">
        <is>
          <t>comparator_31</t>
        </is>
      </c>
      <c r="B22" s="12" t="inlineStr">
        <is>
          <t>harpercollins</t>
        </is>
      </c>
      <c r="C22" s="13" t="n">
        <v>2640</v>
      </c>
      <c r="D22" s="13" t="n">
        <v>2640</v>
      </c>
      <c r="E22" s="13" t="n">
        <v>0</v>
      </c>
      <c r="F22" s="13" t="n">
        <v>2641</v>
      </c>
      <c r="G22" s="13" t="n">
        <v>2641</v>
      </c>
      <c r="H22" s="13" t="n">
        <v>0</v>
      </c>
      <c r="I22" s="13" t="n">
        <v>2605</v>
      </c>
      <c r="J22" s="13" t="n">
        <v>2604</v>
      </c>
      <c r="K22" s="13" t="n">
        <v>1</v>
      </c>
    </row>
    <row r="23">
      <c r="A23" s="18" t="inlineStr">
        <is>
          <t>comparator_22</t>
        </is>
      </c>
      <c r="B23" s="12" t="inlineStr">
        <is>
          <t>the-north-face</t>
        </is>
      </c>
      <c r="C23" s="13" t="n">
        <v>3350</v>
      </c>
      <c r="D23" s="13" t="n">
        <v>3350</v>
      </c>
      <c r="E23" s="13" t="n">
        <v>0</v>
      </c>
      <c r="F23" s="13" t="n">
        <v>3351</v>
      </c>
      <c r="G23" s="13" t="n">
        <v>3351</v>
      </c>
      <c r="H23" s="13" t="n">
        <v>0</v>
      </c>
      <c r="I23" s="13" t="n">
        <v>3315</v>
      </c>
      <c r="J23" s="13" t="n">
        <v>3315</v>
      </c>
      <c r="K23" s="13" t="n">
        <v>0</v>
      </c>
    </row>
    <row r="24">
      <c r="A24" s="18" t="inlineStr">
        <is>
          <t>comparator_29</t>
        </is>
      </c>
      <c r="B24" s="12" t="inlineStr">
        <is>
          <t>crocsinc</t>
        </is>
      </c>
      <c r="C24" s="13" t="n">
        <v>3650</v>
      </c>
      <c r="D24" s="13" t="n">
        <v>3650</v>
      </c>
      <c r="E24" s="13" t="n">
        <v>0</v>
      </c>
      <c r="F24" s="13" t="n">
        <v>3652</v>
      </c>
      <c r="G24" s="13" t="n">
        <v>3652</v>
      </c>
      <c r="H24" s="13" t="n">
        <v>0</v>
      </c>
      <c r="I24" s="13" t="n">
        <v>3608</v>
      </c>
      <c r="J24" s="13" t="n">
        <v>3608</v>
      </c>
      <c r="K24" s="13" t="n">
        <v>0</v>
      </c>
    </row>
    <row r="25">
      <c r="A25" s="18" t="inlineStr">
        <is>
          <t>comparator_5</t>
        </is>
      </c>
      <c r="B25" s="12" t="inlineStr">
        <is>
          <t>openai</t>
        </is>
      </c>
      <c r="C25" s="13" t="n">
        <v>3744</v>
      </c>
      <c r="D25" s="13" t="n">
        <v>3347</v>
      </c>
      <c r="E25" s="13" t="n">
        <v>397</v>
      </c>
      <c r="F25" s="13" t="n">
        <v>3743</v>
      </c>
      <c r="G25" s="13" t="n">
        <v>3289</v>
      </c>
      <c r="H25" s="13" t="n">
        <v>454</v>
      </c>
      <c r="I25" s="13" t="n">
        <v>3699</v>
      </c>
      <c r="J25" s="13" t="n">
        <v>2854</v>
      </c>
      <c r="K25" s="13" t="n">
        <v>845</v>
      </c>
    </row>
    <row r="26">
      <c r="A26" s="18" t="inlineStr">
        <is>
          <t>comparator_35</t>
        </is>
      </c>
      <c r="B26" s="12" t="inlineStr">
        <is>
          <t>jotun</t>
        </is>
      </c>
      <c r="C26" s="13" t="n">
        <v>3871</v>
      </c>
      <c r="D26" s="13" t="n">
        <v>3871</v>
      </c>
      <c r="E26" s="13" t="n">
        <v>0</v>
      </c>
      <c r="F26" s="13" t="n">
        <v>3868</v>
      </c>
      <c r="G26" s="13" t="n">
        <v>3868</v>
      </c>
      <c r="H26" s="13" t="n">
        <v>0</v>
      </c>
      <c r="I26" s="13" t="n">
        <v>3825</v>
      </c>
      <c r="J26" s="13" t="n">
        <v>3823</v>
      </c>
      <c r="K26" s="13" t="n">
        <v>2</v>
      </c>
    </row>
    <row r="27">
      <c r="A27" s="18" t="inlineStr">
        <is>
          <t>comparator_6</t>
        </is>
      </c>
      <c r="B27" s="12" t="inlineStr">
        <is>
          <t>googledeepmind</t>
        </is>
      </c>
      <c r="C27" s="13" t="n">
        <v>4310</v>
      </c>
      <c r="D27" s="13" t="n">
        <v>3025</v>
      </c>
      <c r="E27" s="13" t="n">
        <v>1285</v>
      </c>
      <c r="F27" s="13" t="n">
        <v>4309</v>
      </c>
      <c r="G27" s="13" t="n">
        <v>2979</v>
      </c>
      <c r="H27" s="13" t="n">
        <v>1330</v>
      </c>
      <c r="I27" s="13" t="n">
        <v>4262</v>
      </c>
      <c r="J27" s="13" t="n">
        <v>2459</v>
      </c>
      <c r="K27" s="13" t="n">
        <v>1803</v>
      </c>
    </row>
    <row r="28">
      <c r="A28" s="18" t="inlineStr">
        <is>
          <t>comparator_30</t>
        </is>
      </c>
      <c r="B28" s="12" t="inlineStr">
        <is>
          <t>lvmh</t>
        </is>
      </c>
      <c r="C28" s="13" t="n">
        <v>4357</v>
      </c>
      <c r="D28" s="13" t="n">
        <v>4356</v>
      </c>
      <c r="E28" s="13" t="n">
        <v>1</v>
      </c>
      <c r="F28" s="13" t="n">
        <v>4353</v>
      </c>
      <c r="G28" s="13" t="n">
        <v>4348</v>
      </c>
      <c r="H28" s="13" t="n">
        <v>5</v>
      </c>
      <c r="I28" s="13" t="n">
        <v>4304</v>
      </c>
      <c r="J28" s="13" t="n">
        <v>4292</v>
      </c>
      <c r="K28" s="13" t="n">
        <v>12</v>
      </c>
    </row>
    <row r="29">
      <c r="A29" s="18" t="inlineStr">
        <is>
          <t>comparator_32</t>
        </is>
      </c>
      <c r="B29" s="12" t="inlineStr">
        <is>
          <t>penguin-random-house-publishing</t>
        </is>
      </c>
      <c r="C29" s="13" t="n">
        <v>5232</v>
      </c>
      <c r="D29" s="13" t="n">
        <v>5230</v>
      </c>
      <c r="E29" s="13" t="n">
        <v>2</v>
      </c>
      <c r="F29" s="13" t="n">
        <v>5233</v>
      </c>
      <c r="G29" s="13" t="n">
        <v>5231</v>
      </c>
      <c r="H29" s="13" t="n">
        <v>2</v>
      </c>
      <c r="I29" s="13" t="n">
        <v>5170</v>
      </c>
      <c r="J29" s="13" t="n">
        <v>5163</v>
      </c>
      <c r="K29" s="13" t="n">
        <v>7</v>
      </c>
    </row>
    <row r="30">
      <c r="A30" s="18" t="inlineStr">
        <is>
          <t>comparator_38</t>
        </is>
      </c>
      <c r="B30" s="12" t="inlineStr">
        <is>
          <t>burberry</t>
        </is>
      </c>
      <c r="C30" s="13" t="n">
        <v>7323</v>
      </c>
      <c r="D30" s="13" t="n">
        <v>7322</v>
      </c>
      <c r="E30" s="13" t="n">
        <v>1</v>
      </c>
      <c r="F30" s="13" t="n">
        <v>7328</v>
      </c>
      <c r="G30" s="13" t="n">
        <v>7327</v>
      </c>
      <c r="H30" s="13" t="n">
        <v>1</v>
      </c>
      <c r="I30" s="13" t="n">
        <v>7238</v>
      </c>
      <c r="J30" s="13" t="n">
        <v>7236</v>
      </c>
      <c r="K30" s="13" t="n">
        <v>2</v>
      </c>
    </row>
    <row r="31">
      <c r="A31" s="18" t="inlineStr">
        <is>
          <t>comparator_36</t>
        </is>
      </c>
      <c r="B31" s="12" t="inlineStr">
        <is>
          <t>sherwin-williams</t>
        </is>
      </c>
      <c r="C31" s="13" t="n">
        <v>34617</v>
      </c>
      <c r="D31" s="13" t="n">
        <v>34616</v>
      </c>
      <c r="E31" s="13" t="n">
        <v>1</v>
      </c>
      <c r="F31" s="13" t="n">
        <v>34623</v>
      </c>
      <c r="G31" s="13" t="n">
        <v>34621</v>
      </c>
      <c r="H31" s="13" t="n">
        <v>2</v>
      </c>
      <c r="I31" s="13" t="n">
        <v>34225</v>
      </c>
      <c r="J31" s="13" t="n">
        <v>34219</v>
      </c>
      <c r="K31" s="13" t="n">
        <v>6</v>
      </c>
    </row>
  </sheetData>
  <autoFilter ref="$B$1:$W$749">
    <sortState ref="B1:W749">
      <sortCondition ref="C1:C749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21"/>
  <sheetViews>
    <sheetView workbookViewId="0">
      <selection activeCell="A1" sqref="A1"/>
    </sheetView>
  </sheetViews>
  <sheetFormatPr baseColWidth="8" defaultColWidth="12.63" defaultRowHeight="15.75" customHeight="1"/>
  <cols>
    <col width="29.25" customWidth="1" style="22" min="2" max="2"/>
    <col width="24.25" customWidth="1" style="22" min="3" max="3"/>
  </cols>
  <sheetData>
    <row r="1">
      <c r="A1" s="16" t="inlineStr">
        <is>
          <t>ID</t>
        </is>
      </c>
      <c r="B1" s="16" t="inlineStr">
        <is>
          <t>Organization Name</t>
        </is>
      </c>
      <c r="C1" s="16" t="inlineStr">
        <is>
          <t>Category_ML_Org</t>
        </is>
      </c>
      <c r="D1" s="16" t="inlineStr">
        <is>
          <t>Source</t>
        </is>
      </c>
      <c r="E1" s="9" t="inlineStr">
        <is>
          <t>Founded Date</t>
        </is>
      </c>
      <c r="F1" s="9" t="inlineStr">
        <is>
          <t>Headquarters Location</t>
        </is>
      </c>
      <c r="G1" s="16" t="inlineStr">
        <is>
          <t>LinkedIn</t>
        </is>
      </c>
      <c r="H1" s="18">
        <f t="array" ref="H1:L1">XLOOKUP(A1,linkedIn_filter_evaluation!A:A,linkedIn_filter_evaluation!F:J)</f>
        <v/>
      </c>
      <c r="I1" s="18" t="inlineStr">
        <is>
          <t>filter_broad_yes</t>
        </is>
      </c>
      <c r="J1" s="18" t="inlineStr">
        <is>
          <t>filter_strict_no</t>
        </is>
      </c>
      <c r="K1" s="18" t="inlineStr">
        <is>
          <t>filter_broad_yes_strict_no</t>
        </is>
      </c>
      <c r="L1" s="18" t="inlineStr">
        <is>
          <t>filter_non_english_keywords_CV</t>
        </is>
      </c>
      <c r="M1" s="18">
        <f t="array" ref="M1:U1">XLOOKUP(A1,llm_based_evaluation!A:A,llm_based_evaluation!C:K)</f>
        <v/>
      </c>
      <c r="N1" s="18" t="inlineStr">
        <is>
          <t>claude_total_rejected</t>
        </is>
      </c>
      <c r="O1" s="18" t="inlineStr">
        <is>
          <t>claude_total_accepted</t>
        </is>
      </c>
      <c r="P1" s="18" t="inlineStr">
        <is>
          <t>gpt5_total_employees</t>
        </is>
      </c>
      <c r="Q1" s="18" t="inlineStr">
        <is>
          <t>gpt5_total_rejected</t>
        </is>
      </c>
      <c r="R1" s="18" t="inlineStr">
        <is>
          <t>gpt5_total_accepted</t>
        </is>
      </c>
      <c r="S1" s="18" t="inlineStr">
        <is>
          <t>gemini_total_employees</t>
        </is>
      </c>
      <c r="T1" s="18" t="inlineStr">
        <is>
          <t>gemini_total_rejected</t>
        </is>
      </c>
      <c r="U1" s="18" t="inlineStr">
        <is>
          <t>gemini_total_accepted</t>
        </is>
      </c>
      <c r="V1" s="16" t="inlineStr">
        <is>
          <t>LLM_count_within_3x_filter</t>
        </is>
      </c>
      <c r="W1" s="16" t="inlineStr">
        <is>
          <t>max_headcount_more_than_ten</t>
        </is>
      </c>
      <c r="X1" s="16" t="inlineStr">
        <is>
          <t>max_population</t>
        </is>
      </c>
      <c r="Y1" s="16" t="inlineStr">
        <is>
          <t>max_percentage</t>
        </is>
      </c>
      <c r="Z1" s="16" t="inlineStr">
        <is>
          <t>talent_dense</t>
        </is>
      </c>
      <c r="AA1" s="18" t="inlineStr">
        <is>
          <t>Stage Reached</t>
        </is>
      </c>
      <c r="AB1" s="19" t="inlineStr">
        <is>
          <t>category</t>
        </is>
      </c>
    </row>
    <row r="2">
      <c r="A2" s="2" t="inlineStr">
        <is>
          <t>comparator_1</t>
        </is>
      </c>
      <c r="B2" s="2" t="inlineStr">
        <is>
          <t>NVIDIA</t>
        </is>
      </c>
      <c r="C2" s="2" t="inlineStr">
        <is>
          <t>Established_ML_Org</t>
        </is>
      </c>
      <c r="D2" s="18" t="inlineStr">
        <is>
          <t>Manual Selection</t>
        </is>
      </c>
      <c r="E2" s="18" t="n">
        <v>1993</v>
      </c>
      <c r="F2" s="18" t="inlineStr">
        <is>
          <t>United States</t>
        </is>
      </c>
      <c r="G2" s="4" t="inlineStr">
        <is>
          <t>https://www.linkedin.com/company/nvidia/</t>
        </is>
      </c>
      <c r="H2" s="18">
        <f t="array" ref="H2:L2">XLOOKUP(A2,linkedIn_filter_evaluation!A:A,linkedIn_filter_evaluation!F:J)</f>
        <v/>
      </c>
      <c r="I2" s="18" t="n">
        <v>3500</v>
      </c>
      <c r="J2" s="18" t="n">
        <v>2500</v>
      </c>
      <c r="K2" s="18" t="n">
        <v>974</v>
      </c>
      <c r="L2" s="18" t="n">
        <v>27000</v>
      </c>
      <c r="M2" s="18">
        <f t="array" ref="M2">XLOOKUP(A2,llm_based_evaluation!A:A,llm_based_evaluation!C:K)</f>
        <v/>
      </c>
      <c r="V2" s="21">
        <f>NOT(OR(H2&gt;=N2*3, H2&lt;=N2/3))</f>
        <v/>
      </c>
      <c r="W2" s="21">
        <f>H2&gt;=10</f>
        <v/>
      </c>
      <c r="X2" s="21">
        <f>Max(I2:K2,O2,R2,U2)&gt;=5</f>
        <v/>
      </c>
      <c r="Y2" s="21">
        <f>IF(H2&gt;0, Max(I2:K2,O2,R2,U2)/H2&gt;=0.01,FALSE)</f>
        <v/>
      </c>
      <c r="Z2" s="21" t="b">
        <v>0</v>
      </c>
    </row>
    <row r="3">
      <c r="A3" s="2" t="inlineStr">
        <is>
          <t>comparator_2</t>
        </is>
      </c>
      <c r="B3" s="2" t="inlineStr">
        <is>
          <t>Meta</t>
        </is>
      </c>
      <c r="C3" s="2" t="inlineStr">
        <is>
          <t>Established_ML_Org</t>
        </is>
      </c>
      <c r="D3" s="18" t="inlineStr">
        <is>
          <t>Manual Selection</t>
        </is>
      </c>
      <c r="E3" s="18" t="n">
        <v>2004</v>
      </c>
      <c r="F3" s="18" t="inlineStr">
        <is>
          <t>United States</t>
        </is>
      </c>
      <c r="G3" s="7" t="inlineStr">
        <is>
          <t>https://www.linkedin.com/company/meta/</t>
        </is>
      </c>
      <c r="H3" s="18">
        <f t="array" ref="H3:L3">XLOOKUP(A3,linkedIn_filter_evaluation!A:A,linkedIn_filter_evaluation!F:J)</f>
        <v/>
      </c>
      <c r="I3" s="18" t="n">
        <v>8800</v>
      </c>
      <c r="J3" s="18" t="n">
        <v>4200</v>
      </c>
      <c r="K3" s="18" t="n">
        <v>2100</v>
      </c>
      <c r="L3" s="18" t="n">
        <v>39000</v>
      </c>
      <c r="M3" s="18">
        <f t="array" ref="M3">XLOOKUP(A3,llm_based_evaluation!A:A,llm_based_evaluation!C:K)</f>
        <v/>
      </c>
      <c r="V3" s="21">
        <f>NOT(OR(H3&gt;=N3*3, H3&lt;=N3/3))</f>
        <v/>
      </c>
      <c r="W3" s="21">
        <f>H3&gt;=10</f>
        <v/>
      </c>
      <c r="X3" s="21">
        <f>Max(I3:K3,O3,R3,U3)&gt;=5</f>
        <v/>
      </c>
      <c r="Y3" s="21">
        <f>IF(H3&gt;0, Max(I3:K3,O3,R3,U3)/H3&gt;=0.01,FALSE)</f>
        <v/>
      </c>
      <c r="Z3" s="21" t="b">
        <v>0</v>
      </c>
    </row>
    <row r="4">
      <c r="A4" s="2" t="inlineStr">
        <is>
          <t>comparator_3</t>
        </is>
      </c>
      <c r="B4" s="2" t="inlineStr">
        <is>
          <t>Microsoft</t>
        </is>
      </c>
      <c r="C4" s="2" t="inlineStr">
        <is>
          <t>Established_ML_Org</t>
        </is>
      </c>
      <c r="D4" s="18" t="inlineStr">
        <is>
          <t>Manual Selection</t>
        </is>
      </c>
      <c r="E4" s="18" t="n">
        <v>1975</v>
      </c>
      <c r="F4" s="18" t="inlineStr">
        <is>
          <t>United States</t>
        </is>
      </c>
      <c r="G4" s="7" t="inlineStr">
        <is>
          <t>https://www.linkedin.com/showcase/microsoftresearch/</t>
        </is>
      </c>
      <c r="H4" s="18">
        <f t="array" ref="H4:L4">XLOOKUP(A4,linkedIn_filter_evaluation!A:A,linkedIn_filter_evaluation!F:J)</f>
        <v/>
      </c>
      <c r="I4" s="18" t="n">
        <v>8200</v>
      </c>
      <c r="J4" s="18" t="n">
        <v>4500</v>
      </c>
      <c r="K4" s="18" t="n">
        <v>1200</v>
      </c>
      <c r="L4" s="18" t="n">
        <v>80000</v>
      </c>
      <c r="M4" s="18">
        <f t="array" ref="M4">XLOOKUP(A4,llm_based_evaluation!A:A,llm_based_evaluation!C:K)</f>
        <v/>
      </c>
      <c r="V4" s="21">
        <f>NOT(OR(H4&gt;=N4*3, H4&lt;=N4/3))</f>
        <v/>
      </c>
      <c r="W4" s="21">
        <f>H4&gt;=10</f>
        <v/>
      </c>
      <c r="X4" s="21">
        <f>Max(I4:K4,O4,R4,U4)&gt;=5</f>
        <v/>
      </c>
      <c r="Y4" s="21">
        <f>IF(H4&gt;0, Max(I4:K4,O4,R4,U4)/H4&gt;=0.01,FALSE)</f>
        <v/>
      </c>
      <c r="Z4" s="21" t="b">
        <v>0</v>
      </c>
    </row>
    <row r="5">
      <c r="A5" s="2" t="inlineStr">
        <is>
          <t>comparator_4</t>
        </is>
      </c>
      <c r="B5" s="2" t="inlineStr">
        <is>
          <t>Amazon</t>
        </is>
      </c>
      <c r="C5" s="2" t="inlineStr">
        <is>
          <t>Established_ML_Org</t>
        </is>
      </c>
      <c r="D5" s="18" t="inlineStr">
        <is>
          <t>Manual Selection</t>
        </is>
      </c>
      <c r="E5" s="18" t="n">
        <v>1994</v>
      </c>
      <c r="F5" s="18" t="inlineStr">
        <is>
          <t>United States</t>
        </is>
      </c>
      <c r="G5" s="7" t="inlineStr">
        <is>
          <t>https://www.linkedin.com/showcase/amazonscience/</t>
        </is>
      </c>
      <c r="H5" s="18">
        <f t="array" ref="H5:L5">XLOOKUP(A5,linkedIn_filter_evaluation!A:A,linkedIn_filter_evaluation!F:J)</f>
        <v/>
      </c>
      <c r="I5" s="18" t="n">
        <v>11000</v>
      </c>
      <c r="J5" s="18" t="n">
        <v>6700</v>
      </c>
      <c r="K5" s="18" t="n">
        <v>1600</v>
      </c>
      <c r="L5" s="18" t="n">
        <v>140000</v>
      </c>
      <c r="M5" s="18">
        <f t="array" ref="M5">XLOOKUP(A5,llm_based_evaluation!A:A,llm_based_evaluation!C:K)</f>
        <v/>
      </c>
      <c r="V5" s="21">
        <f>NOT(OR(H5&gt;=N5*3, H5&lt;=N5/3))</f>
        <v/>
      </c>
      <c r="W5" s="21">
        <f>H5&gt;=10</f>
        <v/>
      </c>
      <c r="X5" s="21">
        <f>Max(I5:K5,O5,R5,U5)&gt;=5</f>
        <v/>
      </c>
      <c r="Y5" s="21">
        <f>IF(H5&gt;0, Max(I5:K5,O5,R5,U5)/H5&gt;=0.01,FALSE)</f>
        <v/>
      </c>
      <c r="Z5" s="21" t="b">
        <v>0</v>
      </c>
    </row>
    <row r="6">
      <c r="A6" s="2" t="inlineStr">
        <is>
          <t>comparator_5</t>
        </is>
      </c>
      <c r="B6" s="2" t="inlineStr">
        <is>
          <t xml:space="preserve">OpenAI </t>
        </is>
      </c>
      <c r="C6" s="2" t="inlineStr">
        <is>
          <t>Established_ML_Org</t>
        </is>
      </c>
      <c r="D6" s="18" t="inlineStr">
        <is>
          <t>Manual Selection</t>
        </is>
      </c>
      <c r="E6" s="18" t="n">
        <v>2015</v>
      </c>
      <c r="F6" s="18" t="inlineStr">
        <is>
          <t>United States</t>
        </is>
      </c>
      <c r="G6" s="7" t="inlineStr">
        <is>
          <t>https://www.linkedin.com/company/openai/</t>
        </is>
      </c>
      <c r="H6" s="18">
        <f t="array" ref="H6:L6">XLOOKUP(A6,linkedIn_filter_evaluation!A:A,linkedIn_filter_evaluation!F:J)</f>
        <v/>
      </c>
      <c r="I6" s="18" t="n">
        <v>671</v>
      </c>
      <c r="J6" s="18" t="n">
        <v>391</v>
      </c>
      <c r="K6" s="18" t="n">
        <v>175</v>
      </c>
      <c r="L6" s="18" t="n">
        <v>3200</v>
      </c>
      <c r="M6" s="18">
        <f t="array" ref="M6:U6">XLOOKUP(A6,llm_based_evaluation!A:A,llm_based_evaluation!C:K)</f>
        <v/>
      </c>
      <c r="N6" s="18" t="n">
        <v>3347</v>
      </c>
      <c r="O6" s="18" t="n">
        <v>397</v>
      </c>
      <c r="P6" s="18" t="n">
        <v>3743</v>
      </c>
      <c r="Q6" s="18" t="n">
        <v>3289</v>
      </c>
      <c r="R6" s="18" t="n">
        <v>454</v>
      </c>
      <c r="S6" s="18" t="n">
        <v>3699</v>
      </c>
      <c r="T6" s="18" t="n">
        <v>2854</v>
      </c>
      <c r="U6" s="18" t="n">
        <v>845</v>
      </c>
      <c r="V6" s="21">
        <f>NOT(OR(H6&gt;=N6*3, H6&lt;=N6/3))</f>
        <v/>
      </c>
      <c r="W6" s="21">
        <f>H6&gt;=10</f>
        <v/>
      </c>
      <c r="X6" s="21">
        <f>Max(I6:K6,O6,R6,U6)&gt;=5</f>
        <v/>
      </c>
      <c r="Y6" s="21">
        <f>IF(H6&gt;0, Max(I6:K6,O6,R6,U6)/H6&gt;=0.01,FALSE)</f>
        <v/>
      </c>
      <c r="Z6" s="21" t="b">
        <v>0</v>
      </c>
    </row>
    <row r="7">
      <c r="A7" s="2" t="inlineStr">
        <is>
          <t>comparator_6</t>
        </is>
      </c>
      <c r="B7" s="2" t="inlineStr">
        <is>
          <t>Google DeepMind</t>
        </is>
      </c>
      <c r="C7" s="2" t="inlineStr">
        <is>
          <t>Established_ML_Org</t>
        </is>
      </c>
      <c r="D7" s="18" t="inlineStr">
        <is>
          <t>Manual Selection</t>
        </is>
      </c>
      <c r="E7" s="18" t="n">
        <v>2010</v>
      </c>
      <c r="F7" s="18" t="inlineStr">
        <is>
          <t>United Kingdom</t>
        </is>
      </c>
      <c r="G7" s="7" t="inlineStr">
        <is>
          <t>https://www.linkedin.com/company/googledeepmind/</t>
        </is>
      </c>
      <c r="H7" s="18">
        <f t="array" ref="H7:L7">XLOOKUP(A7,linkedIn_filter_evaluation!A:A,linkedIn_filter_evaluation!F:J)</f>
        <v/>
      </c>
      <c r="I7" s="18" t="n">
        <v>1900</v>
      </c>
      <c r="J7" s="18" t="n">
        <v>1100</v>
      </c>
      <c r="K7" s="18" t="n">
        <v>801</v>
      </c>
      <c r="L7" s="18" t="n">
        <v>3500</v>
      </c>
      <c r="M7" s="18">
        <f t="array" ref="M7:U7">XLOOKUP(A7,llm_based_evaluation!A:A,llm_based_evaluation!C:K)</f>
        <v/>
      </c>
      <c r="N7" s="18" t="n">
        <v>3025</v>
      </c>
      <c r="O7" s="18" t="n">
        <v>1285</v>
      </c>
      <c r="P7" s="18" t="n">
        <v>4309</v>
      </c>
      <c r="Q7" s="18" t="n">
        <v>2979</v>
      </c>
      <c r="R7" s="18" t="n">
        <v>1330</v>
      </c>
      <c r="S7" s="18" t="n">
        <v>4262</v>
      </c>
      <c r="T7" s="18" t="n">
        <v>2459</v>
      </c>
      <c r="U7" s="18" t="n">
        <v>1803</v>
      </c>
      <c r="V7" s="21">
        <f>NOT(OR(H7&gt;=N7*3, H7&lt;=N7/3))</f>
        <v/>
      </c>
      <c r="W7" s="21">
        <f>H7&gt;=10</f>
        <v/>
      </c>
      <c r="X7" s="21">
        <f>Max(I7:K7,O7,R7,U7)&gt;=5</f>
        <v/>
      </c>
      <c r="Y7" s="21">
        <f>IF(H7&gt;0, Max(I7:K7,O7,R7,U7)/H7&gt;=0.01,FALSE)</f>
        <v/>
      </c>
      <c r="Z7" s="21" t="b">
        <v>0</v>
      </c>
    </row>
    <row r="8">
      <c r="A8" s="2" t="inlineStr">
        <is>
          <t>comparator_7</t>
        </is>
      </c>
      <c r="B8" s="2" t="inlineStr">
        <is>
          <t>Anthropic</t>
        </is>
      </c>
      <c r="C8" s="2" t="inlineStr">
        <is>
          <t>Established_ML_Org</t>
        </is>
      </c>
      <c r="D8" s="18" t="inlineStr">
        <is>
          <t>Manual Selection</t>
        </is>
      </c>
      <c r="E8" s="18" t="n">
        <v>2021</v>
      </c>
      <c r="F8" s="18" t="inlineStr">
        <is>
          <t>United States</t>
        </is>
      </c>
      <c r="G8" s="7" t="inlineStr">
        <is>
          <t>https://www.linkedin.com/company/anthropic/</t>
        </is>
      </c>
      <c r="H8" s="18">
        <f t="array" ref="H8:L8">XLOOKUP(A8,linkedIn_filter_evaluation!A:A,linkedIn_filter_evaluation!F:J)</f>
        <v/>
      </c>
      <c r="I8" s="18" t="n">
        <v>276</v>
      </c>
      <c r="J8" s="18" t="n">
        <v>140</v>
      </c>
      <c r="K8" s="18" t="n">
        <v>76</v>
      </c>
      <c r="L8" s="18" t="n">
        <v>1200</v>
      </c>
      <c r="M8" s="18">
        <f t="array" ref="M8">XLOOKUP(A8,llm_based_evaluation!A:A,llm_based_evaluation!C:K)</f>
        <v/>
      </c>
      <c r="V8" s="21">
        <f>NOT(OR(H8&gt;=N8*3, H8&lt;=N8/3))</f>
        <v/>
      </c>
      <c r="W8" s="21">
        <f>H8&gt;=10</f>
        <v/>
      </c>
      <c r="X8" s="21">
        <f>Max(I8:K8,O8,R8,U8)&gt;=5</f>
        <v/>
      </c>
      <c r="Y8" s="21">
        <f>IF(H8&gt;0, Max(I8:K8,O8,R8,U8)/H8&gt;=0.01,FALSE)</f>
        <v/>
      </c>
      <c r="Z8" s="21" t="b">
        <v>0</v>
      </c>
    </row>
    <row r="9">
      <c r="A9" s="2" t="inlineStr">
        <is>
          <t>comparator_8</t>
        </is>
      </c>
      <c r="B9" s="2" t="inlineStr">
        <is>
          <t>xAI</t>
        </is>
      </c>
      <c r="C9" s="2" t="inlineStr">
        <is>
          <t>Established_ML_Org</t>
        </is>
      </c>
      <c r="D9" s="18" t="inlineStr">
        <is>
          <t>Manual Selection</t>
        </is>
      </c>
      <c r="E9" s="18" t="n">
        <v>2023</v>
      </c>
      <c r="F9" s="18" t="inlineStr">
        <is>
          <t>United States</t>
        </is>
      </c>
      <c r="G9" s="7" t="inlineStr">
        <is>
          <t>https://www.linkedin.com/company/xai/</t>
        </is>
      </c>
      <c r="H9" s="18">
        <f t="array" ref="H9:L9">XLOOKUP(A9,linkedIn_filter_evaluation!A:A,linkedIn_filter_evaluation!F:J)</f>
        <v/>
      </c>
      <c r="I9" s="18" t="n">
        <v>177</v>
      </c>
      <c r="J9" s="18" t="n">
        <v>83</v>
      </c>
      <c r="K9" s="18" t="n">
        <v>42</v>
      </c>
      <c r="L9" s="18" t="n">
        <v>725</v>
      </c>
      <c r="M9" s="18">
        <f t="array" ref="M9:U9">XLOOKUP(A9,llm_based_evaluation!A:A,llm_based_evaluation!C:K)</f>
        <v/>
      </c>
      <c r="N9" s="18" t="n">
        <v>1041</v>
      </c>
      <c r="O9" s="18" t="n">
        <v>69</v>
      </c>
      <c r="P9" s="18" t="n">
        <v>1111</v>
      </c>
      <c r="Q9" s="18" t="n">
        <v>1027</v>
      </c>
      <c r="R9" s="18" t="n">
        <v>84</v>
      </c>
      <c r="S9" s="18" t="n">
        <v>1096</v>
      </c>
      <c r="T9" s="18" t="n">
        <v>873</v>
      </c>
      <c r="U9" s="18" t="n">
        <v>223</v>
      </c>
      <c r="V9" s="21">
        <f>NOT(OR(H9&gt;=N9*3, H9&lt;=N9/3))</f>
        <v/>
      </c>
      <c r="W9" s="21">
        <f>H9&gt;=10</f>
        <v/>
      </c>
      <c r="X9" s="21">
        <f>Max(I9:K9,O9,R9,U9)&gt;=5</f>
        <v/>
      </c>
      <c r="Y9" s="21">
        <f>IF(H9&gt;0, Max(I9:K9,O9,R9,U9)/H9&gt;=0.01,FALSE)</f>
        <v/>
      </c>
      <c r="Z9" s="21" t="b">
        <v>0</v>
      </c>
    </row>
    <row r="10">
      <c r="A10" s="2" t="inlineStr">
        <is>
          <t>comparator_9</t>
        </is>
      </c>
      <c r="B10" s="2" t="inlineStr">
        <is>
          <t>AI2</t>
        </is>
      </c>
      <c r="C10" s="2" t="inlineStr">
        <is>
          <t>Established_ML_Org</t>
        </is>
      </c>
      <c r="D10" s="18" t="inlineStr">
        <is>
          <t>Manual Selection</t>
        </is>
      </c>
      <c r="E10" s="18" t="n">
        <v>2014</v>
      </c>
      <c r="F10" s="18" t="inlineStr">
        <is>
          <t>United States</t>
        </is>
      </c>
      <c r="G10" s="7" t="inlineStr">
        <is>
          <t>https://www.linkedin.com/company/allen-ai/</t>
        </is>
      </c>
      <c r="H10" s="18">
        <f t="array" ref="H10:L10">XLOOKUP(A10,linkedIn_filter_evaluation!A:A,linkedIn_filter_evaluation!F:J)</f>
        <v/>
      </c>
      <c r="I10" s="18" t="n">
        <v>103</v>
      </c>
      <c r="J10" s="18" t="n">
        <v>52</v>
      </c>
      <c r="K10" s="18" t="n">
        <v>40</v>
      </c>
      <c r="L10" s="18" t="n">
        <v>179</v>
      </c>
      <c r="M10" s="18">
        <f t="array" ref="M10:U10">XLOOKUP(A10,llm_based_evaluation!A:A,llm_based_evaluation!C:K)</f>
        <v/>
      </c>
      <c r="N10" s="18" t="n">
        <v>183</v>
      </c>
      <c r="O10" s="18" t="n">
        <v>72</v>
      </c>
      <c r="P10" s="18" t="n">
        <v>255</v>
      </c>
      <c r="Q10" s="18" t="n">
        <v>175</v>
      </c>
      <c r="R10" s="18" t="n">
        <v>80</v>
      </c>
      <c r="S10" s="18" t="n">
        <v>252</v>
      </c>
      <c r="T10" s="18" t="n">
        <v>146</v>
      </c>
      <c r="U10" s="18" t="n">
        <v>106</v>
      </c>
      <c r="V10" s="21">
        <f>NOT(OR(H10&gt;=N10*3, H10&lt;=N10/3))</f>
        <v/>
      </c>
      <c r="W10" s="21">
        <f>H10&gt;=10</f>
        <v/>
      </c>
      <c r="X10" s="21">
        <f>Max(I10:K10,O10,R10,U10)&gt;=5</f>
        <v/>
      </c>
      <c r="Y10" s="21">
        <f>IF(H10&gt;0, Max(I10:K10,O10,R10,U10)/H10&gt;=0.01,FALSE)</f>
        <v/>
      </c>
      <c r="Z10" s="21" t="b">
        <v>0</v>
      </c>
    </row>
    <row r="11">
      <c r="A11" s="2" t="inlineStr">
        <is>
          <t>comparator_10</t>
        </is>
      </c>
      <c r="B11" s="2" t="inlineStr">
        <is>
          <t>Mila-Quebec Artificial Intelligence Institute</t>
        </is>
      </c>
      <c r="C11" s="2" t="inlineStr">
        <is>
          <t>Established_ML_Org</t>
        </is>
      </c>
      <c r="D11" s="18" t="inlineStr">
        <is>
          <t>Manual Selection</t>
        </is>
      </c>
      <c r="E11" s="18" t="n">
        <v>1993</v>
      </c>
      <c r="F11" s="18" t="inlineStr">
        <is>
          <t>Canada</t>
        </is>
      </c>
      <c r="G11" s="7" t="inlineStr">
        <is>
          <t>https://www.linkedin.com/school/mila-quebec/</t>
        </is>
      </c>
      <c r="H11" s="18">
        <f t="array" ref="H11:L11">XLOOKUP(A11,linkedIn_filter_evaluation!A:A,linkedIn_filter_evaluation!F:J)</f>
        <v/>
      </c>
      <c r="I11" s="18" t="n">
        <v>424</v>
      </c>
      <c r="J11" s="18" t="n">
        <v>163</v>
      </c>
      <c r="K11" s="18" t="n">
        <v>130</v>
      </c>
      <c r="L11" s="18" t="n">
        <v>682</v>
      </c>
      <c r="M11" s="18">
        <f t="array" ref="M11">XLOOKUP(A11,llm_based_evaluation!A:A,llm_based_evaluation!C:K)</f>
        <v/>
      </c>
      <c r="V11" s="21">
        <f>NOT(OR(H11&gt;=N11*3, H11&lt;=N11/3))</f>
        <v/>
      </c>
      <c r="W11" s="21">
        <f>H11&gt;=10</f>
        <v/>
      </c>
      <c r="X11" s="21">
        <f>Max(I11:K11,O11,R11,U11)&gt;=5</f>
        <v/>
      </c>
      <c r="Y11" s="21">
        <f>IF(H11&gt;0, Max(I11:K11,O11,R11,U11)/H11&gt;=0.01,FALSE)</f>
        <v/>
      </c>
      <c r="Z11" s="21" t="b">
        <v>0</v>
      </c>
    </row>
    <row r="12">
      <c r="A12" s="2" t="inlineStr">
        <is>
          <t>comparator_11</t>
        </is>
      </c>
      <c r="B12" s="2" t="inlineStr">
        <is>
          <t>LawZero</t>
        </is>
      </c>
      <c r="C12" s="2" t="inlineStr">
        <is>
          <t>Established_ML_Org</t>
        </is>
      </c>
      <c r="D12" s="18" t="inlineStr">
        <is>
          <t>Manual Selection</t>
        </is>
      </c>
      <c r="E12" s="18" t="n">
        <v>2025</v>
      </c>
      <c r="F12" s="18" t="inlineStr">
        <is>
          <t>Canada</t>
        </is>
      </c>
      <c r="G12" s="7" t="inlineStr">
        <is>
          <t>https://www.linkedin.com/company/lawzero/</t>
        </is>
      </c>
      <c r="H12" s="18">
        <f t="array" ref="H12:L12">XLOOKUP(A12,linkedIn_filter_evaluation!A:A,linkedIn_filter_evaluation!F:J)</f>
        <v/>
      </c>
      <c r="I12" s="18" t="n">
        <v>4</v>
      </c>
      <c r="J12" s="18" t="n">
        <v>2</v>
      </c>
      <c r="K12" s="18" t="n">
        <v>1</v>
      </c>
      <c r="L12" s="18" t="n">
        <v>7</v>
      </c>
      <c r="M12" s="18">
        <f t="array" ref="M12:U12">XLOOKUP(A12,llm_based_evaluation!A:A,llm_based_evaluation!C:K)</f>
        <v/>
      </c>
      <c r="N12" s="18" t="n">
        <v>4</v>
      </c>
      <c r="O12" s="18" t="n">
        <v>4</v>
      </c>
      <c r="P12" s="18" t="n">
        <v>8</v>
      </c>
      <c r="Q12" s="18" t="n">
        <v>3</v>
      </c>
      <c r="R12" s="18" t="n">
        <v>5</v>
      </c>
      <c r="S12" s="18" t="n">
        <v>8</v>
      </c>
      <c r="T12" s="18" t="n">
        <v>3</v>
      </c>
      <c r="U12" s="18" t="n">
        <v>5</v>
      </c>
      <c r="V12" s="21">
        <f>NOT(OR(H12&gt;=N12*3, H12&lt;=N12/3))</f>
        <v/>
      </c>
      <c r="W12" s="21">
        <f>H12&gt;=10</f>
        <v/>
      </c>
      <c r="X12" s="21">
        <f>Max(I12:K12,O12,R12,U12)&gt;=5</f>
        <v/>
      </c>
      <c r="Y12" s="21">
        <f>IF(H12&gt;0, Max(I12:K12,O12,R12,U12)/H12&gt;=0.01,FALSE)</f>
        <v/>
      </c>
      <c r="Z12" s="21" t="b">
        <v>0</v>
      </c>
    </row>
    <row r="13">
      <c r="A13" s="2" t="inlineStr">
        <is>
          <t>comparator_12</t>
        </is>
      </c>
      <c r="B13" s="2" t="inlineStr">
        <is>
          <t>Thinking Machines Lab</t>
        </is>
      </c>
      <c r="C13" s="2" t="inlineStr">
        <is>
          <t>Established_ML_Org</t>
        </is>
      </c>
      <c r="D13" s="18" t="inlineStr">
        <is>
          <t>Manual Selection</t>
        </is>
      </c>
      <c r="E13" s="18" t="n">
        <v>2025</v>
      </c>
      <c r="F13" s="18" t="inlineStr">
        <is>
          <t>United States</t>
        </is>
      </c>
      <c r="G13" s="2" t="n"/>
      <c r="H13" s="18">
        <f t="array" ref="H13:L13">XLOOKUP(A13,linkedIn_filter_evaluation!A:A,linkedIn_filter_evaluation!F:J)</f>
        <v/>
      </c>
      <c r="I13" s="18" t="n">
        <v>22</v>
      </c>
      <c r="J13" s="18" t="n">
        <v>15</v>
      </c>
      <c r="K13" s="18" t="n">
        <v>12</v>
      </c>
      <c r="L13" s="18" t="n">
        <v>40</v>
      </c>
      <c r="M13" s="18">
        <f t="array" ref="M13">XLOOKUP(A13,llm_based_evaluation!A:A,llm_based_evaluation!C:K)</f>
        <v/>
      </c>
      <c r="V13" s="21">
        <f>NOT(OR(H13&gt;=N13*3, H13&lt;=N13/3))</f>
        <v/>
      </c>
      <c r="W13" s="21">
        <f>H13&gt;=10</f>
        <v/>
      </c>
      <c r="X13" s="21">
        <f>Max(I13:K13,O13,R13,U13)&gt;=5</f>
        <v/>
      </c>
      <c r="Y13" s="21">
        <f>IF(H13&gt;0, Max(I13:K13,O13,R13,U13)/H13&gt;=0.01,FALSE)</f>
        <v/>
      </c>
      <c r="Z13" s="21" t="b">
        <v>0</v>
      </c>
    </row>
    <row r="14">
      <c r="A14" s="2" t="inlineStr">
        <is>
          <t>comparator_13</t>
        </is>
      </c>
      <c r="B14" s="2" t="inlineStr">
        <is>
          <t>Hugging Face</t>
        </is>
      </c>
      <c r="C14" s="2" t="inlineStr">
        <is>
          <t>Established_ML_Org</t>
        </is>
      </c>
      <c r="D14" s="18" t="inlineStr">
        <is>
          <t>Manual Selection</t>
        </is>
      </c>
      <c r="E14" s="18" t="n">
        <v>2016</v>
      </c>
      <c r="F14" s="18" t="inlineStr">
        <is>
          <t>United States</t>
        </is>
      </c>
      <c r="G14" s="7" t="inlineStr">
        <is>
          <t>https://www.linkedin.com/company/huggingface/</t>
        </is>
      </c>
      <c r="H14" s="18">
        <f t="array" ref="H14:L14">XLOOKUP(A14,linkedIn_filter_evaluation!A:A,linkedIn_filter_evaluation!F:J)</f>
        <v/>
      </c>
      <c r="I14" s="18" t="n">
        <v>91</v>
      </c>
      <c r="J14" s="18" t="n">
        <v>48</v>
      </c>
      <c r="K14" s="18" t="n">
        <v>14</v>
      </c>
      <c r="L14" s="18" t="n">
        <v>217</v>
      </c>
      <c r="M14" s="18">
        <f t="array" ref="M14:U14">XLOOKUP(A14,llm_based_evaluation!A:A,llm_based_evaluation!C:K)</f>
        <v/>
      </c>
      <c r="N14" s="18" t="n">
        <v>262</v>
      </c>
      <c r="O14" s="18" t="n">
        <v>67</v>
      </c>
      <c r="P14" s="18" t="n">
        <v>329</v>
      </c>
      <c r="Q14" s="18" t="n">
        <v>251</v>
      </c>
      <c r="R14" s="18" t="n">
        <v>78</v>
      </c>
      <c r="S14" s="18" t="n">
        <v>324</v>
      </c>
      <c r="T14" s="18" t="n">
        <v>210</v>
      </c>
      <c r="U14" s="18" t="n">
        <v>114</v>
      </c>
      <c r="V14" s="21">
        <f>NOT(OR(H14&gt;=N14*3, H14&lt;=N14/3))</f>
        <v/>
      </c>
      <c r="W14" s="21">
        <f>H14&gt;=10</f>
        <v/>
      </c>
      <c r="X14" s="21">
        <f>Max(I14:K14,O14,R14,U14)&gt;=5</f>
        <v/>
      </c>
      <c r="Y14" s="21">
        <f>IF(H14&gt;0, Max(I14:K14,O14,R14,U14)/H14&gt;=0.01,FALSE)</f>
        <v/>
      </c>
      <c r="Z14" s="21" t="b">
        <v>0</v>
      </c>
    </row>
    <row r="15">
      <c r="A15" s="2" t="inlineStr">
        <is>
          <t>comparator_14</t>
        </is>
      </c>
      <c r="B15" s="2" t="inlineStr">
        <is>
          <t>Midjourney</t>
        </is>
      </c>
      <c r="C15" s="2" t="inlineStr">
        <is>
          <t>Established_ML_Org</t>
        </is>
      </c>
      <c r="D15" s="18" t="inlineStr">
        <is>
          <t>Manual Selection</t>
        </is>
      </c>
      <c r="E15" s="18" t="n">
        <v>2021</v>
      </c>
      <c r="F15" s="18" t="inlineStr">
        <is>
          <t>United States</t>
        </is>
      </c>
      <c r="G15" s="7" t="inlineStr">
        <is>
          <t>https://www.linkedin.com/company/midjourney/</t>
        </is>
      </c>
      <c r="H15" s="18">
        <f t="array" ref="H15:L15">XLOOKUP(A15,linkedIn_filter_evaluation!A:A,linkedIn_filter_evaluation!F:J)</f>
        <v/>
      </c>
      <c r="I15" s="18" t="n">
        <v>16</v>
      </c>
      <c r="J15" s="18" t="n">
        <v>15</v>
      </c>
      <c r="K15" s="18" t="n">
        <v>7</v>
      </c>
      <c r="L15" s="18" t="n">
        <v>79</v>
      </c>
      <c r="M15" s="18">
        <f t="array" ref="M15:U15">XLOOKUP(A15,llm_based_evaluation!A:A,llm_based_evaluation!C:K)</f>
        <v/>
      </c>
      <c r="N15" s="18" t="n">
        <v>77</v>
      </c>
      <c r="O15" s="18" t="n">
        <v>11</v>
      </c>
      <c r="P15" s="18" t="n">
        <v>88</v>
      </c>
      <c r="Q15" s="18" t="n">
        <v>75</v>
      </c>
      <c r="R15" s="18" t="n">
        <v>13</v>
      </c>
      <c r="S15" s="18" t="n">
        <v>88</v>
      </c>
      <c r="T15" s="18" t="n">
        <v>68</v>
      </c>
      <c r="U15" s="18" t="n">
        <v>20</v>
      </c>
      <c r="V15" s="21">
        <f>NOT(OR(H15&gt;=N15*3, H15&lt;=N15/3))</f>
        <v/>
      </c>
      <c r="W15" s="21">
        <f>H15&gt;=10</f>
        <v/>
      </c>
      <c r="X15" s="21">
        <f>Max(I15:K15,O15,R15,U15)&gt;=5</f>
        <v/>
      </c>
      <c r="Y15" s="21">
        <f>IF(H15&gt;0, Max(I15:K15,O15,R15,U15)/H15&gt;=0.01,FALSE)</f>
        <v/>
      </c>
      <c r="Z15" s="21" t="b">
        <v>0</v>
      </c>
    </row>
    <row r="16">
      <c r="A16" s="2" t="inlineStr">
        <is>
          <t>comparator_15</t>
        </is>
      </c>
      <c r="B16" s="2" t="inlineStr">
        <is>
          <t>Cohere</t>
        </is>
      </c>
      <c r="C16" s="2" t="inlineStr">
        <is>
          <t>Established_ML_Org</t>
        </is>
      </c>
      <c r="D16" s="18" t="inlineStr">
        <is>
          <t>Manual Selection</t>
        </is>
      </c>
      <c r="E16" s="18" t="n">
        <v>2019</v>
      </c>
      <c r="F16" s="18" t="inlineStr">
        <is>
          <t>Canada</t>
        </is>
      </c>
      <c r="G16" s="8" t="inlineStr">
        <is>
          <t>https://www.linkedin.com/company/cohere-ai/</t>
        </is>
      </c>
      <c r="H16" s="18">
        <f t="array" ref="H16:L16">XLOOKUP(A16,linkedIn_filter_evaluation!A:A,linkedIn_filter_evaluation!F:J)</f>
        <v/>
      </c>
      <c r="I16" s="18" t="n">
        <v>183</v>
      </c>
      <c r="J16" s="18" t="n">
        <v>73</v>
      </c>
      <c r="K16" s="18" t="n">
        <v>42</v>
      </c>
      <c r="L16" s="18" t="n">
        <v>494</v>
      </c>
      <c r="M16" s="18">
        <f t="array" ref="M16">XLOOKUP(A16,llm_based_evaluation!A:A,llm_based_evaluation!C:K)</f>
        <v/>
      </c>
      <c r="V16" s="21">
        <f>NOT(OR(H16&gt;=N16*3, H16&lt;=N16/3))</f>
        <v/>
      </c>
      <c r="W16" s="21">
        <f>H16&gt;=10</f>
        <v/>
      </c>
      <c r="X16" s="21">
        <f>Max(I16:K16,O16,R16,U16)&gt;=5</f>
        <v/>
      </c>
      <c r="Y16" s="21">
        <f>IF(H16&gt;0, Max(I16:K16,O16,R16,U16)/H16&gt;=0.01,FALSE)</f>
        <v/>
      </c>
      <c r="Z16" s="21" t="b">
        <v>0</v>
      </c>
    </row>
    <row r="17">
      <c r="A17" s="2" t="inlineStr">
        <is>
          <t>comparator_16</t>
        </is>
      </c>
      <c r="B17" s="2" t="inlineStr">
        <is>
          <t>Perplexity AI</t>
        </is>
      </c>
      <c r="C17" s="2" t="inlineStr">
        <is>
          <t>Established_ML_Org</t>
        </is>
      </c>
      <c r="D17" s="18" t="inlineStr">
        <is>
          <t>Manual Selection</t>
        </is>
      </c>
      <c r="E17" s="18" t="n">
        <v>2022</v>
      </c>
      <c r="F17" s="18" t="inlineStr">
        <is>
          <t>United States</t>
        </is>
      </c>
      <c r="G17" s="7" t="inlineStr">
        <is>
          <t>https://www.linkedin.com/company/perplexity-ai/</t>
        </is>
      </c>
      <c r="H17" s="18">
        <f t="array" ref="H17:L17">XLOOKUP(A17,linkedIn_filter_evaluation!A:A,linkedIn_filter_evaluation!F:J)</f>
        <v/>
      </c>
      <c r="I17" s="18" t="n">
        <v>135</v>
      </c>
      <c r="J17" s="18" t="n">
        <v>25</v>
      </c>
      <c r="K17" s="18" t="n">
        <v>7</v>
      </c>
      <c r="L17" s="18" t="n">
        <v>532</v>
      </c>
      <c r="M17" s="18">
        <f t="array" ref="M17:U17">XLOOKUP(A17,llm_based_evaluation!A:A,llm_based_evaluation!C:K)</f>
        <v/>
      </c>
      <c r="N17" s="18" t="n">
        <v>555</v>
      </c>
      <c r="O17" s="18" t="n">
        <v>14</v>
      </c>
      <c r="P17" s="18" t="n">
        <v>569</v>
      </c>
      <c r="Q17" s="18" t="n">
        <v>551</v>
      </c>
      <c r="R17" s="18" t="n">
        <v>18</v>
      </c>
      <c r="S17" s="18" t="n">
        <v>564</v>
      </c>
      <c r="T17" s="18" t="n">
        <v>500</v>
      </c>
      <c r="U17" s="18" t="n">
        <v>64</v>
      </c>
      <c r="V17" s="21">
        <f>NOT(OR(H17&gt;=N17*3, H17&lt;=N17/3))</f>
        <v/>
      </c>
      <c r="W17" s="21">
        <f>H17&gt;=10</f>
        <v/>
      </c>
      <c r="X17" s="21">
        <f>Max(I17:K17,O17,R17,U17)&gt;=5</f>
        <v/>
      </c>
      <c r="Y17" s="21">
        <f>IF(H17&gt;0, Max(I17:K17,O17,R17,U17)/H17&gt;=0.01,FALSE)</f>
        <v/>
      </c>
      <c r="Z17" s="21" t="b">
        <v>0</v>
      </c>
    </row>
    <row r="18">
      <c r="A18" s="2" t="inlineStr">
        <is>
          <t>comparator_17</t>
        </is>
      </c>
      <c r="B18" s="2" t="inlineStr">
        <is>
          <t>Mistral AI</t>
        </is>
      </c>
      <c r="C18" s="2" t="inlineStr">
        <is>
          <t>Established_ML_Org</t>
        </is>
      </c>
      <c r="D18" s="18" t="inlineStr">
        <is>
          <t>Manual Selection</t>
        </is>
      </c>
      <c r="E18" s="18" t="n">
        <v>2023</v>
      </c>
      <c r="F18" s="18" t="inlineStr">
        <is>
          <t>France</t>
        </is>
      </c>
      <c r="G18" s="7" t="inlineStr">
        <is>
          <t>https://www.linkedin.com/company/mistralai/</t>
        </is>
      </c>
      <c r="H18" s="18">
        <f t="array" ref="H18:L18">XLOOKUP(A18,linkedIn_filter_evaluation!A:A,linkedIn_filter_evaluation!F:J)</f>
        <v/>
      </c>
      <c r="I18" s="18" t="n">
        <v>80</v>
      </c>
      <c r="J18" s="18" t="n">
        <v>52</v>
      </c>
      <c r="K18" s="18" t="n">
        <v>32</v>
      </c>
      <c r="L18" s="18" t="n">
        <v>305</v>
      </c>
      <c r="M18" s="18">
        <f t="array" ref="M18:U18">XLOOKUP(A18,llm_based_evaluation!A:A,llm_based_evaluation!C:K)</f>
        <v/>
      </c>
      <c r="N18" s="18" t="n">
        <v>232</v>
      </c>
      <c r="O18" s="18" t="n">
        <v>61</v>
      </c>
      <c r="P18" s="18" t="n">
        <v>292</v>
      </c>
      <c r="Q18" s="18" t="n">
        <v>219</v>
      </c>
      <c r="R18" s="18" t="n">
        <v>73</v>
      </c>
      <c r="S18" s="18" t="n">
        <v>290</v>
      </c>
      <c r="T18" s="18" t="n">
        <v>190</v>
      </c>
      <c r="U18" s="18" t="n">
        <v>100</v>
      </c>
      <c r="V18" s="21">
        <f>NOT(OR(H18&gt;=N18*3, H18&lt;=N18/3))</f>
        <v/>
      </c>
      <c r="W18" s="21">
        <f>H18&gt;=10</f>
        <v/>
      </c>
      <c r="X18" s="21">
        <f>Max(I18:K18,O18,R18,U18)&gt;=5</f>
        <v/>
      </c>
      <c r="Y18" s="21">
        <f>IF(H18&gt;0, Max(I18:K18,O18,R18,U18)/H18&gt;=0.01,FALSE)</f>
        <v/>
      </c>
      <c r="Z18" s="21" t="b">
        <v>0</v>
      </c>
    </row>
    <row r="19">
      <c r="A19" s="2" t="inlineStr">
        <is>
          <t>comparator_18</t>
        </is>
      </c>
      <c r="B19" s="7" t="inlineStr">
        <is>
          <t>Character.AI</t>
        </is>
      </c>
      <c r="C19" s="2" t="inlineStr">
        <is>
          <t>Established_ML_Org</t>
        </is>
      </c>
      <c r="D19" s="18" t="inlineStr">
        <is>
          <t>Manual Selection</t>
        </is>
      </c>
      <c r="E19" s="18" t="n">
        <v>2021</v>
      </c>
      <c r="F19" s="18" t="inlineStr">
        <is>
          <t>United States</t>
        </is>
      </c>
      <c r="G19" s="7" t="inlineStr">
        <is>
          <t>https://www.linkedin.com/company/character-ai/</t>
        </is>
      </c>
      <c r="H19" s="18">
        <f t="array" ref="H19:L19">XLOOKUP(A19,linkedIn_filter_evaluation!A:A,linkedIn_filter_evaluation!F:J)</f>
        <v/>
      </c>
      <c r="I19" s="18" t="n">
        <v>20</v>
      </c>
      <c r="J19" s="18" t="n">
        <v>9</v>
      </c>
      <c r="K19" s="18" t="n">
        <v>3</v>
      </c>
      <c r="L19" s="18" t="n">
        <v>68</v>
      </c>
      <c r="M19" s="18">
        <f t="array" ref="M19:U19">XLOOKUP(A19,llm_based_evaluation!A:A,llm_based_evaluation!C:K)</f>
        <v/>
      </c>
      <c r="N19" s="18" t="n">
        <v>123</v>
      </c>
      <c r="O19" s="18" t="n">
        <v>9</v>
      </c>
      <c r="P19" s="18" t="n">
        <v>132</v>
      </c>
      <c r="Q19" s="18" t="n">
        <v>122</v>
      </c>
      <c r="R19" s="18" t="n">
        <v>10</v>
      </c>
      <c r="S19" s="18" t="n">
        <v>132</v>
      </c>
      <c r="T19" s="18" t="n">
        <v>107</v>
      </c>
      <c r="U19" s="18" t="n">
        <v>25</v>
      </c>
      <c r="V19" s="21">
        <f>NOT(OR(H19&gt;=N19*3, H19&lt;=N19/3))</f>
        <v/>
      </c>
      <c r="W19" s="21">
        <f>H19&gt;=10</f>
        <v/>
      </c>
      <c r="X19" s="21">
        <f>Max(I19:K19,O19,R19,U19)&gt;=5</f>
        <v/>
      </c>
      <c r="Y19" s="21">
        <f>IF(H19&gt;0, Max(I19:K19,O19,R19,U19)/H19&gt;=0.01,FALSE)</f>
        <v/>
      </c>
      <c r="Z19" s="21" t="b">
        <v>0</v>
      </c>
    </row>
    <row r="20">
      <c r="A20" s="2" t="inlineStr">
        <is>
          <t>comparator_19</t>
        </is>
      </c>
      <c r="B20" s="2" t="inlineStr">
        <is>
          <t>AI21 Labs</t>
        </is>
      </c>
      <c r="C20" s="2" t="inlineStr">
        <is>
          <t>Established_ML_Org</t>
        </is>
      </c>
      <c r="D20" s="18" t="inlineStr">
        <is>
          <t>Manual Selection</t>
        </is>
      </c>
      <c r="E20" s="18" t="n">
        <v>2017</v>
      </c>
      <c r="F20" s="18" t="inlineStr">
        <is>
          <t>Israel</t>
        </is>
      </c>
      <c r="G20" s="7" t="inlineStr">
        <is>
          <t>https://www.linkedin.com/company/ai21/</t>
        </is>
      </c>
      <c r="H20" s="18">
        <f t="array" ref="H20:L20">XLOOKUP(A20,linkedIn_filter_evaluation!A:A,linkedIn_filter_evaluation!F:J)</f>
        <v/>
      </c>
      <c r="I20" s="18" t="n">
        <v>17</v>
      </c>
      <c r="J20" s="18" t="n">
        <v>24</v>
      </c>
      <c r="K20" s="18" t="n">
        <v>8</v>
      </c>
      <c r="L20" s="18" t="n">
        <v>34</v>
      </c>
      <c r="M20" s="18">
        <f t="array" ref="M20:U20">XLOOKUP(A20,llm_based_evaluation!A:A,llm_based_evaluation!C:K)</f>
        <v/>
      </c>
      <c r="N20" s="18" t="n">
        <v>204</v>
      </c>
      <c r="O20" s="18" t="n">
        <v>17</v>
      </c>
      <c r="P20" s="18" t="n">
        <v>221</v>
      </c>
      <c r="Q20" s="18" t="n">
        <v>198</v>
      </c>
      <c r="R20" s="18" t="n">
        <v>23</v>
      </c>
      <c r="S20" s="18" t="n">
        <v>218</v>
      </c>
      <c r="T20" s="18" t="n">
        <v>180</v>
      </c>
      <c r="U20" s="18" t="n">
        <v>38</v>
      </c>
      <c r="V20" s="21">
        <f>NOT(OR(H20&gt;=N20*3, H20&lt;=N20/3))</f>
        <v/>
      </c>
      <c r="W20" s="21">
        <f>H20&gt;=10</f>
        <v/>
      </c>
      <c r="X20" s="21">
        <f>Max(I20:K20,O20,R20,U20)&gt;=5</f>
        <v/>
      </c>
      <c r="Y20" s="21">
        <f>IF(H20&gt;0, Max(I20:K20,O20,R20,U20)/H20&gt;=0.01,FALSE)</f>
        <v/>
      </c>
      <c r="Z20" s="21" t="b">
        <v>0</v>
      </c>
    </row>
    <row r="21">
      <c r="A21" s="2" t="inlineStr">
        <is>
          <t>comparator_20</t>
        </is>
      </c>
      <c r="B21" s="2" t="inlineStr">
        <is>
          <t>Baidu Research (Baidu USA)</t>
        </is>
      </c>
      <c r="C21" s="2" t="inlineStr">
        <is>
          <t>Established_ML_Org</t>
        </is>
      </c>
      <c r="D21" s="18" t="inlineStr">
        <is>
          <t>Manual Selection</t>
        </is>
      </c>
      <c r="E21" s="18" t="n">
        <v>2000</v>
      </c>
      <c r="F21" s="18" t="inlineStr">
        <is>
          <t>China</t>
        </is>
      </c>
      <c r="G21" s="7" t="inlineStr">
        <is>
          <t>https://www.linkedin.com/company/baidu-usa/</t>
        </is>
      </c>
      <c r="H21" s="18">
        <f t="array" ref="H21:L21">XLOOKUP(A21,linkedIn_filter_evaluation!A:A,linkedIn_filter_evaluation!F:J)</f>
        <v/>
      </c>
      <c r="I21" s="18" t="n">
        <v>14</v>
      </c>
      <c r="J21" s="18" t="n">
        <v>7</v>
      </c>
      <c r="K21" s="18" t="n">
        <v>3</v>
      </c>
      <c r="L21" s="18" t="n">
        <v>73</v>
      </c>
      <c r="M21" s="18">
        <f t="array" ref="M21:U21">XLOOKUP(A21,llm_based_evaluation!A:A,llm_based_evaluation!C:K)</f>
        <v/>
      </c>
      <c r="N21" s="18" t="n">
        <v>156</v>
      </c>
      <c r="O21" s="18" t="n">
        <v>6</v>
      </c>
      <c r="P21" s="18" t="n">
        <v>162</v>
      </c>
      <c r="Q21" s="18" t="n">
        <v>150</v>
      </c>
      <c r="R21" s="18" t="n">
        <v>12</v>
      </c>
      <c r="S21" s="18" t="n">
        <v>156</v>
      </c>
      <c r="T21" s="18" t="n">
        <v>130</v>
      </c>
      <c r="U21" s="18" t="n">
        <v>26</v>
      </c>
      <c r="V21" s="21">
        <f>NOT(OR(H21&gt;=N21*3, H21&lt;=N21/3))</f>
        <v/>
      </c>
      <c r="W21" s="21">
        <f>H21&gt;=10</f>
        <v/>
      </c>
      <c r="X21" s="21">
        <f>Max(I21:K21,O21,R21,U21)&gt;=5</f>
        <v/>
      </c>
      <c r="Y21" s="21">
        <f>IF(H21&gt;0, Max(I21:K21,O21,R21,U21)/H21&gt;=0.01,FALSE)</f>
        <v/>
      </c>
      <c r="Z21" s="21" t="b">
        <v>0</v>
      </c>
    </row>
  </sheetData>
  <autoFilter ref="$A$1:$AB$3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B19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B1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inlineStr">
        <is>
          <t>ID</t>
        </is>
      </c>
      <c r="B1" s="16" t="inlineStr">
        <is>
          <t>Organization Name</t>
        </is>
      </c>
      <c r="C1" s="16" t="inlineStr">
        <is>
          <t>Category_ML_Org</t>
        </is>
      </c>
      <c r="D1" s="16" t="inlineStr">
        <is>
          <t>Source</t>
        </is>
      </c>
      <c r="E1" s="9" t="inlineStr">
        <is>
          <t>Founded Date</t>
        </is>
      </c>
      <c r="F1" s="9" t="inlineStr">
        <is>
          <t>Headquarters Location</t>
        </is>
      </c>
      <c r="G1" s="16" t="inlineStr">
        <is>
          <t>LinkedIn</t>
        </is>
      </c>
      <c r="H1" s="18">
        <f t="array" ref="H1:L1">XLOOKUP(A1,linkedIn_filter_evaluation!A:A,linkedIn_filter_evaluation!F:J)</f>
        <v/>
      </c>
      <c r="I1" s="18" t="inlineStr">
        <is>
          <t>filter_broad_yes</t>
        </is>
      </c>
      <c r="J1" s="18" t="inlineStr">
        <is>
          <t>filter_strict_no</t>
        </is>
      </c>
      <c r="K1" s="18" t="inlineStr">
        <is>
          <t>filter_broad_yes_strict_no</t>
        </is>
      </c>
      <c r="L1" s="18" t="inlineStr">
        <is>
          <t>filter_non_english_keywords_CV</t>
        </is>
      </c>
      <c r="M1" s="18">
        <f t="array" ref="M1:U1">XLOOKUP(A1,llm_based_evaluation!A:A,llm_based_evaluation!C:K)</f>
        <v/>
      </c>
      <c r="N1" s="18" t="inlineStr">
        <is>
          <t>claude_total_rejected</t>
        </is>
      </c>
      <c r="O1" s="18" t="inlineStr">
        <is>
          <t>claude_total_accepted</t>
        </is>
      </c>
      <c r="P1" s="18" t="inlineStr">
        <is>
          <t>gpt5_total_employees</t>
        </is>
      </c>
      <c r="Q1" s="18" t="inlineStr">
        <is>
          <t>gpt5_total_rejected</t>
        </is>
      </c>
      <c r="R1" s="18" t="inlineStr">
        <is>
          <t>gpt5_total_accepted</t>
        </is>
      </c>
      <c r="S1" s="18" t="inlineStr">
        <is>
          <t>gemini_total_employees</t>
        </is>
      </c>
      <c r="T1" s="18" t="inlineStr">
        <is>
          <t>gemini_total_rejected</t>
        </is>
      </c>
      <c r="U1" s="18" t="inlineStr">
        <is>
          <t>gemini_total_accepted</t>
        </is>
      </c>
      <c r="V1" s="16" t="inlineStr">
        <is>
          <t>LLM_count_within_3x_filter</t>
        </is>
      </c>
      <c r="W1" s="16" t="inlineStr">
        <is>
          <t>max_headcount_more_than_ten</t>
        </is>
      </c>
      <c r="X1" s="16" t="inlineStr">
        <is>
          <t>max_population</t>
        </is>
      </c>
      <c r="Y1" s="16" t="inlineStr">
        <is>
          <t>max_percentage</t>
        </is>
      </c>
      <c r="Z1" s="16" t="inlineStr">
        <is>
          <t>talent_dense</t>
        </is>
      </c>
      <c r="AA1" s="18" t="inlineStr">
        <is>
          <t>Stage Reached</t>
        </is>
      </c>
      <c r="AB1" s="19" t="inlineStr">
        <is>
          <t>category</t>
        </is>
      </c>
    </row>
    <row r="2">
      <c r="A2" s="2" t="inlineStr">
        <is>
          <t>comparator_21</t>
        </is>
      </c>
      <c r="B2" s="2" t="inlineStr">
        <is>
          <t>Patagonia</t>
        </is>
      </c>
      <c r="C2" s="2" t="inlineStr">
        <is>
          <t>Non_ML_Org</t>
        </is>
      </c>
      <c r="D2" s="18" t="inlineStr">
        <is>
          <t>Manual Selection</t>
        </is>
      </c>
      <c r="E2" s="18" t="n">
        <v>1973</v>
      </c>
      <c r="F2" s="18" t="inlineStr">
        <is>
          <t>United States</t>
        </is>
      </c>
      <c r="G2" s="7" t="inlineStr">
        <is>
          <t>https://www.linkedin.com/company/patagonia_2/</t>
        </is>
      </c>
      <c r="H2" s="18">
        <f t="array" ref="H2:L2">XLOOKUP(A2,linkedIn_filter_evaluation!A:A,linkedIn_filter_evaluation!F:J)</f>
        <v/>
      </c>
      <c r="I2" s="18" t="n">
        <v>0</v>
      </c>
      <c r="J2" s="18" t="n">
        <v>1</v>
      </c>
      <c r="K2" s="18" t="n">
        <v>0</v>
      </c>
      <c r="L2" s="18" t="n">
        <v>816</v>
      </c>
      <c r="M2" s="18">
        <f t="array" ref="M2:U2">XLOOKUP(A2,llm_based_evaluation!A:A,llm_based_evaluation!C:K)</f>
        <v/>
      </c>
      <c r="N2" s="18" t="n">
        <v>2544</v>
      </c>
      <c r="O2" s="18" t="n">
        <v>0</v>
      </c>
      <c r="P2" s="18" t="n">
        <v>2542</v>
      </c>
      <c r="Q2" s="18" t="n">
        <v>2542</v>
      </c>
      <c r="R2" s="18" t="n">
        <v>0</v>
      </c>
      <c r="S2" s="18" t="n">
        <v>2515</v>
      </c>
      <c r="T2" s="18" t="n">
        <v>2515</v>
      </c>
      <c r="U2" s="18" t="n">
        <v>0</v>
      </c>
      <c r="V2" s="21">
        <f>NOT(OR(H2&gt;=N2*3, H2&lt;=N2/3))</f>
        <v/>
      </c>
      <c r="W2" s="21">
        <f>H2&gt;=10</f>
        <v/>
      </c>
      <c r="X2" s="21">
        <f>Max(I2:K2,O2,R2,U2)&gt;=5</f>
        <v/>
      </c>
      <c r="Y2" s="21">
        <f>IF(H2&gt;0, Max(I2:K2,O2,R2,U2)/H2&gt;=0.01,FALSE)</f>
        <v/>
      </c>
      <c r="Z2" s="21" t="b">
        <v>1</v>
      </c>
    </row>
    <row r="3">
      <c r="A3" s="2" t="inlineStr">
        <is>
          <t>comparator_22</t>
        </is>
      </c>
      <c r="B3" s="2" t="inlineStr">
        <is>
          <t>The North Face</t>
        </is>
      </c>
      <c r="C3" s="2" t="inlineStr">
        <is>
          <t>Non_ML_Org</t>
        </is>
      </c>
      <c r="D3" s="18" t="inlineStr">
        <is>
          <t>Manual Selection</t>
        </is>
      </c>
      <c r="E3" s="18" t="n">
        <v>1966</v>
      </c>
      <c r="F3" s="18" t="inlineStr">
        <is>
          <t>United States</t>
        </is>
      </c>
      <c r="G3" s="7" t="inlineStr">
        <is>
          <t>https://www.linkedin.com/company/the-north-face/</t>
        </is>
      </c>
      <c r="H3" s="18">
        <f t="array" ref="H3:L3">XLOOKUP(A3,linkedIn_filter_evaluation!A:A,linkedIn_filter_evaluation!F:J)</f>
        <v/>
      </c>
      <c r="I3" s="18" t="n">
        <v>2</v>
      </c>
      <c r="J3" s="18" t="n">
        <v>0</v>
      </c>
      <c r="K3" s="18" t="n">
        <v>0</v>
      </c>
      <c r="L3" s="18" t="n">
        <v>1100</v>
      </c>
      <c r="M3" s="18">
        <f t="array" ref="M3:U3">XLOOKUP(A3,llm_based_evaluation!A:A,llm_based_evaluation!C:K)</f>
        <v/>
      </c>
      <c r="N3" s="18" t="n">
        <v>3350</v>
      </c>
      <c r="O3" s="18" t="n">
        <v>0</v>
      </c>
      <c r="P3" s="18" t="n">
        <v>3351</v>
      </c>
      <c r="Q3" s="18" t="n">
        <v>3351</v>
      </c>
      <c r="R3" s="18" t="n">
        <v>0</v>
      </c>
      <c r="S3" s="18" t="n">
        <v>3315</v>
      </c>
      <c r="T3" s="18" t="n">
        <v>3315</v>
      </c>
      <c r="U3" s="18" t="n">
        <v>0</v>
      </c>
      <c r="V3" s="21">
        <f>NOT(OR(H3&gt;=N3*3, H3&lt;=N3/3))</f>
        <v/>
      </c>
      <c r="W3" s="21">
        <f>H3&gt;=10</f>
        <v/>
      </c>
      <c r="X3" s="21">
        <f>Max(I3:K3,O3,R3,U3)&gt;=5</f>
        <v/>
      </c>
      <c r="Y3" s="21">
        <f>IF(H3&gt;0, Max(I3:K3,O3,R3,U3)/H3&gt;=0.01,FALSE)</f>
        <v/>
      </c>
      <c r="Z3" s="21" t="b">
        <v>1</v>
      </c>
    </row>
    <row r="4">
      <c r="A4" s="2" t="inlineStr">
        <is>
          <t>comparator_23</t>
        </is>
      </c>
      <c r="B4" s="2" t="inlineStr">
        <is>
          <t>YETI</t>
        </is>
      </c>
      <c r="C4" s="2" t="inlineStr">
        <is>
          <t>Non_ML_Org</t>
        </is>
      </c>
      <c r="D4" s="18" t="inlineStr">
        <is>
          <t>Manual Selection</t>
        </is>
      </c>
      <c r="E4" s="18" t="n">
        <v>2006</v>
      </c>
      <c r="F4" s="18" t="inlineStr">
        <is>
          <t>United States</t>
        </is>
      </c>
      <c r="G4" s="7" t="inlineStr">
        <is>
          <t>https://www.linkedin.com/company/yeti/</t>
        </is>
      </c>
      <c r="H4" s="18">
        <f t="array" ref="H4:L4">XLOOKUP(A4,linkedIn_filter_evaluation!A:A,linkedIn_filter_evaluation!F:J)</f>
        <v/>
      </c>
      <c r="I4" s="18" t="n">
        <v>5</v>
      </c>
      <c r="J4" s="18" t="n">
        <v>0</v>
      </c>
      <c r="K4" s="18" t="n">
        <v>0</v>
      </c>
      <c r="L4" s="18" t="n">
        <v>359</v>
      </c>
      <c r="M4" s="18">
        <f t="array" ref="M4:U4">XLOOKUP(A4,llm_based_evaluation!A:A,llm_based_evaluation!C:K)</f>
        <v/>
      </c>
      <c r="N4" s="18" t="n">
        <v>1144</v>
      </c>
      <c r="O4" s="18" t="n">
        <v>1</v>
      </c>
      <c r="P4" s="18" t="n">
        <v>1144</v>
      </c>
      <c r="Q4" s="18" t="n">
        <v>1144</v>
      </c>
      <c r="R4" s="18" t="n">
        <v>0</v>
      </c>
      <c r="S4" s="18" t="n">
        <v>1132</v>
      </c>
      <c r="T4" s="18" t="n">
        <v>1131</v>
      </c>
      <c r="U4" s="18" t="n">
        <v>1</v>
      </c>
      <c r="V4" s="21">
        <f>NOT(OR(H4&gt;=N4*3, H4&lt;=N4/3))</f>
        <v/>
      </c>
      <c r="W4" s="21">
        <f>H4&gt;=10</f>
        <v/>
      </c>
      <c r="X4" s="21">
        <f>Max(I4:K4,O4,R4,U4)&gt;=5</f>
        <v/>
      </c>
      <c r="Y4" s="21">
        <f>IF(H4&gt;0, Max(I4:K4,O4,R4,U4)/H4&gt;=0.01,FALSE)</f>
        <v/>
      </c>
      <c r="Z4" s="21" t="b">
        <v>1</v>
      </c>
    </row>
    <row r="5">
      <c r="A5" s="2" t="inlineStr">
        <is>
          <t>comparator_24</t>
        </is>
      </c>
      <c r="B5" s="2" t="inlineStr">
        <is>
          <t>Hydro Flask</t>
        </is>
      </c>
      <c r="C5" s="2" t="inlineStr">
        <is>
          <t>Non_ML_Org</t>
        </is>
      </c>
      <c r="D5" s="18" t="inlineStr">
        <is>
          <t>Manual Selection</t>
        </is>
      </c>
      <c r="E5" s="18" t="n">
        <v>2009</v>
      </c>
      <c r="F5" s="18" t="inlineStr">
        <is>
          <t>United States</t>
        </is>
      </c>
      <c r="G5" s="7" t="inlineStr">
        <is>
          <t>https://www.linkedin.com/company/hydro-flask/</t>
        </is>
      </c>
      <c r="H5" s="18">
        <f t="array" ref="H5:L5">XLOOKUP(A5,linkedIn_filter_evaluation!A:A,linkedIn_filter_evaluation!F:J)</f>
        <v/>
      </c>
      <c r="I5" s="18" t="n">
        <v>0</v>
      </c>
      <c r="J5" s="18" t="n">
        <v>1</v>
      </c>
      <c r="K5" s="18" t="n">
        <v>0</v>
      </c>
      <c r="L5" s="18" t="n">
        <v>18</v>
      </c>
      <c r="M5" s="18">
        <f t="array" ref="M5:U5">XLOOKUP(A5,llm_based_evaluation!A:A,llm_based_evaluation!C:K)</f>
        <v/>
      </c>
      <c r="N5" s="18" t="n">
        <v>93</v>
      </c>
      <c r="O5" s="18" t="n">
        <v>0</v>
      </c>
      <c r="P5" s="18" t="n">
        <v>93</v>
      </c>
      <c r="Q5" s="18" t="n">
        <v>93</v>
      </c>
      <c r="R5" s="18" t="n">
        <v>0</v>
      </c>
      <c r="S5" s="18" t="n">
        <v>92</v>
      </c>
      <c r="T5" s="18" t="n">
        <v>92</v>
      </c>
      <c r="U5" s="18" t="n">
        <v>0</v>
      </c>
      <c r="V5" s="21">
        <f>NOT(OR(H5&gt;=N5*3, H5&lt;=N5/3))</f>
        <v/>
      </c>
      <c r="W5" s="21">
        <f>H5&gt;=10</f>
        <v/>
      </c>
      <c r="X5" s="21">
        <f>Max(I5:K5,O5,R5,U5)&gt;=5</f>
        <v/>
      </c>
      <c r="Y5" s="21">
        <f>IF(H5&gt;0, Max(I5:K5,O5,R5,U5)/H5&gt;=0.01,FALSE)</f>
        <v/>
      </c>
      <c r="Z5" s="21" t="b">
        <v>1</v>
      </c>
    </row>
    <row r="6">
      <c r="A6" s="2" t="inlineStr">
        <is>
          <t>comparator_25</t>
        </is>
      </c>
      <c r="B6" s="2" t="inlineStr">
        <is>
          <t>New York Philharmonic</t>
        </is>
      </c>
      <c r="C6" s="2" t="inlineStr">
        <is>
          <t>Non_ML_Org</t>
        </is>
      </c>
      <c r="D6" s="18" t="inlineStr">
        <is>
          <t>Manual Selection</t>
        </is>
      </c>
      <c r="E6" s="18" t="n">
        <v>1842</v>
      </c>
      <c r="F6" s="18" t="inlineStr">
        <is>
          <t>United States</t>
        </is>
      </c>
      <c r="G6" s="7" t="inlineStr">
        <is>
          <t>https://www.linkedin.com/company/new-york-philharmonic/</t>
        </is>
      </c>
      <c r="H6" s="18">
        <f t="array" ref="H6:L6">XLOOKUP(A6,linkedIn_filter_evaluation!A:A,linkedIn_filter_evaluation!F:J)</f>
        <v/>
      </c>
      <c r="I6" s="18" t="n">
        <v>0</v>
      </c>
      <c r="J6" s="18" t="n">
        <v>0</v>
      </c>
      <c r="K6" s="18" t="n">
        <v>0</v>
      </c>
      <c r="L6" s="18" t="n">
        <v>75</v>
      </c>
      <c r="M6" s="18">
        <f t="array" ref="M6:U6">XLOOKUP(A6,llm_based_evaluation!A:A,llm_based_evaluation!C:K)</f>
        <v/>
      </c>
      <c r="N6" s="18" t="n">
        <v>178</v>
      </c>
      <c r="O6" s="18" t="n">
        <v>0</v>
      </c>
      <c r="P6" s="18" t="n">
        <v>178</v>
      </c>
      <c r="Q6" s="18" t="n">
        <v>178</v>
      </c>
      <c r="R6" s="18" t="n">
        <v>0</v>
      </c>
      <c r="S6" s="18" t="n">
        <v>176</v>
      </c>
      <c r="T6" s="18" t="n">
        <v>176</v>
      </c>
      <c r="U6" s="18" t="n">
        <v>0</v>
      </c>
      <c r="V6" s="21">
        <f>NOT(OR(H6&gt;=N6*3, H6&lt;=N6/3))</f>
        <v/>
      </c>
      <c r="W6" s="21">
        <f>H6&gt;=10</f>
        <v/>
      </c>
      <c r="X6" s="21">
        <f>Max(I6:K6,O6,R6,U6)&gt;=5</f>
        <v/>
      </c>
      <c r="Y6" s="21">
        <f>IF(H6&gt;0, Max(I6:K6,O6,R6,U6)/H6&gt;=0.01,FALSE)</f>
        <v/>
      </c>
      <c r="Z6" s="21" t="b">
        <v>1</v>
      </c>
    </row>
    <row r="7">
      <c r="A7" s="2" t="inlineStr">
        <is>
          <t>comparator_26</t>
        </is>
      </c>
      <c r="B7" s="2" t="inlineStr">
        <is>
          <t>London Symphony Orchestra</t>
        </is>
      </c>
      <c r="C7" s="2" t="inlineStr">
        <is>
          <t>Non_ML_Org</t>
        </is>
      </c>
      <c r="D7" s="18" t="inlineStr">
        <is>
          <t>Manual Selection</t>
        </is>
      </c>
      <c r="E7" s="18" t="n">
        <v>1904</v>
      </c>
      <c r="F7" s="18" t="inlineStr">
        <is>
          <t>United Kingdom</t>
        </is>
      </c>
      <c r="G7" s="7" t="inlineStr">
        <is>
          <t>https://www.linkedin.com/company/london-symphony-orchestra/</t>
        </is>
      </c>
      <c r="H7" s="18">
        <f t="array" ref="H7:L7">XLOOKUP(A7,linkedIn_filter_evaluation!A:A,linkedIn_filter_evaluation!F:J)</f>
        <v/>
      </c>
      <c r="I7" s="18" t="n">
        <v>0</v>
      </c>
      <c r="J7" s="18" t="n">
        <v>0</v>
      </c>
      <c r="K7" s="18" t="n">
        <v>0</v>
      </c>
      <c r="L7" s="18" t="n">
        <v>90</v>
      </c>
      <c r="M7" s="18">
        <f t="array" ref="M7:U7">XLOOKUP(A7,llm_based_evaluation!A:A,llm_based_evaluation!C:K)</f>
        <v/>
      </c>
      <c r="N7" s="18" t="n">
        <v>110</v>
      </c>
      <c r="O7" s="18" t="n">
        <v>0</v>
      </c>
      <c r="P7" s="18" t="n">
        <v>110</v>
      </c>
      <c r="Q7" s="18" t="n">
        <v>110</v>
      </c>
      <c r="R7" s="18" t="n">
        <v>0</v>
      </c>
      <c r="S7" s="18" t="n">
        <v>110</v>
      </c>
      <c r="T7" s="18" t="n">
        <v>110</v>
      </c>
      <c r="U7" s="18" t="n">
        <v>0</v>
      </c>
      <c r="V7" s="21">
        <f>NOT(OR(H7&gt;=N7*3, H7&lt;=N7/3))</f>
        <v/>
      </c>
      <c r="W7" s="21">
        <f>H7&gt;=10</f>
        <v/>
      </c>
      <c r="X7" s="21">
        <f>Max(I7:K7,O7,R7,U7)&gt;=5</f>
        <v/>
      </c>
      <c r="Y7" s="21">
        <f>IF(H7&gt;0, Max(I7:K7,O7,R7,U7)/H7&gt;=0.01,FALSE)</f>
        <v/>
      </c>
      <c r="Z7" s="21" t="b">
        <v>1</v>
      </c>
    </row>
    <row r="8">
      <c r="A8" s="2" t="inlineStr">
        <is>
          <t>comparator_27</t>
        </is>
      </c>
      <c r="B8" s="2" t="inlineStr">
        <is>
          <t>Museo Nacional del Prado</t>
        </is>
      </c>
      <c r="C8" s="2" t="inlineStr">
        <is>
          <t>Non_ML_Org</t>
        </is>
      </c>
      <c r="D8" s="18" t="inlineStr">
        <is>
          <t>Manual Selection</t>
        </is>
      </c>
      <c r="E8" s="18" t="n">
        <v>1819</v>
      </c>
      <c r="F8" s="18" t="inlineStr">
        <is>
          <t>Spain</t>
        </is>
      </c>
      <c r="G8" s="7" t="inlineStr">
        <is>
          <t>https://www.linkedin.com/company/museo-nacional-del-prado/</t>
        </is>
      </c>
      <c r="H8" s="18">
        <f t="array" ref="H8:L8">XLOOKUP(A8,linkedIn_filter_evaluation!A:A,linkedIn_filter_evaluation!F:J)</f>
        <v/>
      </c>
      <c r="I8" s="18" t="n">
        <v>0</v>
      </c>
      <c r="J8" s="18" t="n">
        <v>0</v>
      </c>
      <c r="K8" s="18" t="n">
        <v>0</v>
      </c>
      <c r="L8" s="18" t="n">
        <v>202</v>
      </c>
      <c r="M8" s="18">
        <f t="array" ref="M8:U8">XLOOKUP(A8,llm_based_evaluation!A:A,llm_based_evaluation!C:K)</f>
        <v/>
      </c>
      <c r="N8" s="18" t="n">
        <v>120</v>
      </c>
      <c r="O8" s="18" t="n">
        <v>0</v>
      </c>
      <c r="P8" s="18" t="n">
        <v>120</v>
      </c>
      <c r="Q8" s="18" t="n">
        <v>120</v>
      </c>
      <c r="R8" s="18" t="n">
        <v>0</v>
      </c>
      <c r="S8" s="18" t="n">
        <v>117</v>
      </c>
      <c r="T8" s="18" t="n">
        <v>117</v>
      </c>
      <c r="U8" s="18" t="n">
        <v>0</v>
      </c>
      <c r="V8" s="21">
        <f>NOT(OR(H8&gt;=N8*3, H8&lt;=N8/3))</f>
        <v/>
      </c>
      <c r="W8" s="21">
        <f>H8&gt;=10</f>
        <v/>
      </c>
      <c r="X8" s="21">
        <f>Max(I8:K8,O8,R8,U8)&gt;=5</f>
        <v/>
      </c>
      <c r="Y8" s="21">
        <f>IF(H8&gt;0, Max(I8:K8,O8,R8,U8)/H8&gt;=0.01,FALSE)</f>
        <v/>
      </c>
      <c r="Z8" s="21" t="b">
        <v>1</v>
      </c>
    </row>
    <row r="9">
      <c r="A9" s="2" t="inlineStr">
        <is>
          <t>comparator_28</t>
        </is>
      </c>
      <c r="B9" s="2" t="inlineStr">
        <is>
          <t>The British Museum</t>
        </is>
      </c>
      <c r="C9" s="2" t="inlineStr">
        <is>
          <t>Non_ML_Org</t>
        </is>
      </c>
      <c r="D9" s="18" t="inlineStr">
        <is>
          <t>Manual Selection</t>
        </is>
      </c>
      <c r="E9" s="18" t="n">
        <v>1753</v>
      </c>
      <c r="F9" s="18" t="inlineStr">
        <is>
          <t>United Kingdom</t>
        </is>
      </c>
      <c r="G9" s="7" t="inlineStr">
        <is>
          <t>https://www.linkedin.com/company/the-british-museum/</t>
        </is>
      </c>
      <c r="H9" s="18">
        <f t="array" ref="H9:L9">XLOOKUP(A9,linkedIn_filter_evaluation!A:A,linkedIn_filter_evaluation!F:J)</f>
        <v/>
      </c>
      <c r="I9" s="18" t="n">
        <v>0</v>
      </c>
      <c r="J9" s="18" t="n">
        <v>1</v>
      </c>
      <c r="K9" s="18" t="n">
        <v>0</v>
      </c>
      <c r="L9" s="18" t="n">
        <v>573</v>
      </c>
      <c r="M9" s="18">
        <f t="array" ref="M9:U9">XLOOKUP(A9,llm_based_evaluation!A:A,llm_based_evaluation!C:K)</f>
        <v/>
      </c>
      <c r="N9" s="18" t="n">
        <v>910</v>
      </c>
      <c r="O9" s="18" t="n">
        <v>0</v>
      </c>
      <c r="P9" s="18" t="n">
        <v>910</v>
      </c>
      <c r="Q9" s="18" t="n">
        <v>910</v>
      </c>
      <c r="R9" s="18" t="n">
        <v>0</v>
      </c>
      <c r="S9" s="18" t="n">
        <v>903</v>
      </c>
      <c r="T9" s="18" t="n">
        <v>903</v>
      </c>
      <c r="U9" s="18" t="n">
        <v>0</v>
      </c>
      <c r="V9" s="21">
        <f>NOT(OR(H9&gt;=N9*3, H9&lt;=N9/3))</f>
        <v/>
      </c>
      <c r="W9" s="21">
        <f>H9&gt;=10</f>
        <v/>
      </c>
      <c r="X9" s="21">
        <f>Max(I9:K9,O9,R9,U9)&gt;=5</f>
        <v/>
      </c>
      <c r="Y9" s="21">
        <f>IF(H9&gt;0, Max(I9:K9,O9,R9,U9)/H9&gt;=0.01,FALSE)</f>
        <v/>
      </c>
      <c r="Z9" s="21" t="b">
        <v>1</v>
      </c>
    </row>
    <row r="10">
      <c r="A10" s="2" t="inlineStr">
        <is>
          <t>comparator_29</t>
        </is>
      </c>
      <c r="B10" s="2" t="inlineStr">
        <is>
          <t>Crocs, Inc.</t>
        </is>
      </c>
      <c r="C10" s="2" t="inlineStr">
        <is>
          <t>Non_ML_Org</t>
        </is>
      </c>
      <c r="D10" s="18" t="inlineStr">
        <is>
          <t>Manual Selection</t>
        </is>
      </c>
      <c r="E10" s="18" t="n">
        <v>2002</v>
      </c>
      <c r="F10" s="18" t="inlineStr">
        <is>
          <t>United States</t>
        </is>
      </c>
      <c r="G10" s="7" t="inlineStr">
        <is>
          <t>https://www.linkedin.com/company/crocsinc/</t>
        </is>
      </c>
      <c r="H10" s="18">
        <f t="array" ref="H10:L10">XLOOKUP(A10,linkedIn_filter_evaluation!A:A,linkedIn_filter_evaluation!F:J)</f>
        <v/>
      </c>
      <c r="I10" s="18" t="n">
        <v>3</v>
      </c>
      <c r="J10" s="18" t="n">
        <v>1</v>
      </c>
      <c r="K10" s="18" t="n">
        <v>0</v>
      </c>
      <c r="L10" s="18" t="n">
        <v>962</v>
      </c>
      <c r="M10" s="18">
        <f t="array" ref="M10:U10">XLOOKUP(A10,llm_based_evaluation!A:A,llm_based_evaluation!C:K)</f>
        <v/>
      </c>
      <c r="N10" s="18" t="n">
        <v>3650</v>
      </c>
      <c r="O10" s="18" t="n">
        <v>0</v>
      </c>
      <c r="P10" s="18" t="n">
        <v>3652</v>
      </c>
      <c r="Q10" s="18" t="n">
        <v>3652</v>
      </c>
      <c r="R10" s="18" t="n">
        <v>0</v>
      </c>
      <c r="S10" s="18" t="n">
        <v>3608</v>
      </c>
      <c r="T10" s="18" t="n">
        <v>3608</v>
      </c>
      <c r="U10" s="18" t="n">
        <v>0</v>
      </c>
      <c r="V10" s="21">
        <f>NOT(OR(H10&gt;=N10*3, H10&lt;=N10/3))</f>
        <v/>
      </c>
      <c r="W10" s="21">
        <f>H10&gt;=10</f>
        <v/>
      </c>
      <c r="X10" s="21">
        <f>Max(I10:K10,O10,R10,U10)&gt;=5</f>
        <v/>
      </c>
      <c r="Y10" s="21">
        <f>IF(H10&gt;0, Max(I10:K10,O10,R10,U10)/H10&gt;=0.01,FALSE)</f>
        <v/>
      </c>
      <c r="Z10" s="21" t="b">
        <v>1</v>
      </c>
    </row>
    <row r="11">
      <c r="A11" s="2" t="inlineStr">
        <is>
          <t>comparator_30</t>
        </is>
      </c>
      <c r="B11" s="2" t="inlineStr">
        <is>
          <t>LVMH</t>
        </is>
      </c>
      <c r="C11" s="2" t="inlineStr">
        <is>
          <t>Non_ML_Org</t>
        </is>
      </c>
      <c r="D11" s="18" t="inlineStr">
        <is>
          <t>Manual Selection</t>
        </is>
      </c>
      <c r="E11" s="18" t="n">
        <v>1987</v>
      </c>
      <c r="F11" s="18" t="inlineStr">
        <is>
          <t>France</t>
        </is>
      </c>
      <c r="G11" s="7" t="inlineStr">
        <is>
          <t>https://www.linkedin.com/company/lvmh/</t>
        </is>
      </c>
      <c r="H11" s="18">
        <f t="array" ref="H11:L11">XLOOKUP(A11,linkedIn_filter_evaluation!A:A,linkedIn_filter_evaluation!F:J)</f>
        <v/>
      </c>
      <c r="I11" s="18" t="n">
        <v>17</v>
      </c>
      <c r="J11" s="18" t="n">
        <v>2</v>
      </c>
      <c r="K11" s="18" t="n">
        <v>0</v>
      </c>
      <c r="L11" s="18" t="n">
        <v>2900</v>
      </c>
      <c r="M11" s="18">
        <f t="array" ref="M11:U11">XLOOKUP(A11,llm_based_evaluation!A:A,llm_based_evaluation!C:K)</f>
        <v/>
      </c>
      <c r="N11" s="18" t="n">
        <v>4356</v>
      </c>
      <c r="O11" s="18" t="n">
        <v>1</v>
      </c>
      <c r="P11" s="18" t="n">
        <v>4353</v>
      </c>
      <c r="Q11" s="18" t="n">
        <v>4348</v>
      </c>
      <c r="R11" s="18" t="n">
        <v>5</v>
      </c>
      <c r="S11" s="18" t="n">
        <v>4304</v>
      </c>
      <c r="T11" s="18" t="n">
        <v>4292</v>
      </c>
      <c r="U11" s="18" t="n">
        <v>12</v>
      </c>
      <c r="V11" s="21">
        <f>NOT(OR(H11&gt;=N11*3, H11&lt;=N11/3))</f>
        <v/>
      </c>
      <c r="W11" s="21">
        <f>H11&gt;=10</f>
        <v/>
      </c>
      <c r="X11" s="21">
        <f>Max(I11:K11,O11,R11,U11)&gt;=5</f>
        <v/>
      </c>
      <c r="Y11" s="21">
        <f>IF(H11&gt;0, Max(I11:K11,O11,R11,U11)/H11&gt;=0.01,FALSE)</f>
        <v/>
      </c>
      <c r="Z11" s="21" t="b">
        <v>1</v>
      </c>
    </row>
    <row r="12">
      <c r="A12" s="2" t="inlineStr">
        <is>
          <t>comparator_31</t>
        </is>
      </c>
      <c r="B12" s="2" t="inlineStr">
        <is>
          <t>HarperCollins Publishers</t>
        </is>
      </c>
      <c r="C12" s="2" t="inlineStr">
        <is>
          <t>Non_ML_Org</t>
        </is>
      </c>
      <c r="D12" s="18" t="inlineStr">
        <is>
          <t>Manual Selection</t>
        </is>
      </c>
      <c r="E12" s="18" t="n">
        <v>1817</v>
      </c>
      <c r="F12" s="18" t="inlineStr">
        <is>
          <t>United States</t>
        </is>
      </c>
      <c r="G12" s="7" t="inlineStr">
        <is>
          <t>https://www.linkedin.com/company/harpercollins/</t>
        </is>
      </c>
      <c r="H12" s="18">
        <f t="array" ref="H12:L12">XLOOKUP(A12,linkedIn_filter_evaluation!A:A,linkedIn_filter_evaluation!F:J)</f>
        <v/>
      </c>
      <c r="I12" s="18" t="n">
        <v>7</v>
      </c>
      <c r="J12" s="18" t="n">
        <v>8</v>
      </c>
      <c r="K12" s="18" t="n">
        <v>0</v>
      </c>
      <c r="L12" s="18" t="n">
        <v>1300</v>
      </c>
      <c r="M12" s="18">
        <f t="array" ref="M12:U12">XLOOKUP(A12,llm_based_evaluation!A:A,llm_based_evaluation!C:K)</f>
        <v/>
      </c>
      <c r="N12" s="18" t="n">
        <v>2640</v>
      </c>
      <c r="O12" s="18" t="n">
        <v>0</v>
      </c>
      <c r="P12" s="18" t="n">
        <v>2641</v>
      </c>
      <c r="Q12" s="18" t="n">
        <v>2641</v>
      </c>
      <c r="R12" s="18" t="n">
        <v>0</v>
      </c>
      <c r="S12" s="18" t="n">
        <v>2605</v>
      </c>
      <c r="T12" s="18" t="n">
        <v>2604</v>
      </c>
      <c r="U12" s="18" t="n">
        <v>1</v>
      </c>
      <c r="V12" s="21">
        <f>NOT(OR(H12&gt;=N12*3, H12&lt;=N12/3))</f>
        <v/>
      </c>
      <c r="W12" s="21">
        <f>H12&gt;=10</f>
        <v/>
      </c>
      <c r="X12" s="21">
        <f>Max(I12:K12,O12,R12,U12)&gt;=5</f>
        <v/>
      </c>
      <c r="Y12" s="21">
        <f>IF(H12&gt;0, Max(I12:K12,O12,R12,U12)/H12&gt;=0.01,FALSE)</f>
        <v/>
      </c>
      <c r="Z12" s="21" t="b">
        <v>1</v>
      </c>
    </row>
    <row r="13">
      <c r="A13" s="2" t="inlineStr">
        <is>
          <t>comparator_32</t>
        </is>
      </c>
      <c r="B13" s="2" t="inlineStr">
        <is>
          <t>Penguin Random House</t>
        </is>
      </c>
      <c r="C13" s="2" t="inlineStr">
        <is>
          <t>Non_ML_Org</t>
        </is>
      </c>
      <c r="D13" s="18" t="inlineStr">
        <is>
          <t>Manual Selection</t>
        </is>
      </c>
      <c r="E13" s="18" t="n">
        <v>2013</v>
      </c>
      <c r="F13" s="18" t="inlineStr">
        <is>
          <t>United States</t>
        </is>
      </c>
      <c r="G13" s="7" t="inlineStr">
        <is>
          <t>https://www.linkedin.com/company/penguin-random-house-publishing/</t>
        </is>
      </c>
      <c r="H13" s="18">
        <f t="array" ref="H13:L13">XLOOKUP(A13,linkedIn_filter_evaluation!A:A,linkedIn_filter_evaluation!F:J)</f>
        <v/>
      </c>
      <c r="I13" s="18" t="n">
        <v>18</v>
      </c>
      <c r="J13" s="18" t="n">
        <v>9</v>
      </c>
      <c r="K13" s="18" t="n">
        <v>1</v>
      </c>
      <c r="L13" s="18" t="n">
        <v>2400</v>
      </c>
      <c r="M13" s="18">
        <f t="array" ref="M13:U13">XLOOKUP(A13,llm_based_evaluation!A:A,llm_based_evaluation!C:K)</f>
        <v/>
      </c>
      <c r="N13" s="18" t="n">
        <v>5230</v>
      </c>
      <c r="O13" s="18" t="n">
        <v>2</v>
      </c>
      <c r="P13" s="18" t="n">
        <v>5233</v>
      </c>
      <c r="Q13" s="18" t="n">
        <v>5231</v>
      </c>
      <c r="R13" s="18" t="n">
        <v>2</v>
      </c>
      <c r="S13" s="18" t="n">
        <v>5170</v>
      </c>
      <c r="T13" s="18" t="n">
        <v>5163</v>
      </c>
      <c r="U13" s="18" t="n">
        <v>7</v>
      </c>
      <c r="V13" s="21">
        <f>NOT(OR(H13&gt;=N13*3, H13&lt;=N13/3))</f>
        <v/>
      </c>
      <c r="W13" s="21">
        <f>H13&gt;=10</f>
        <v/>
      </c>
      <c r="X13" s="21">
        <f>Max(I13:K13,O13,R13,U13)&gt;=5</f>
        <v/>
      </c>
      <c r="Y13" s="21">
        <f>IF(H13&gt;0, Max(I13:K13,O13,R13,U13)/H13&gt;=0.01,FALSE)</f>
        <v/>
      </c>
      <c r="Z13" s="21" t="b">
        <v>1</v>
      </c>
    </row>
    <row r="14">
      <c r="A14" s="2" t="inlineStr">
        <is>
          <t>comparator_33</t>
        </is>
      </c>
      <c r="B14" s="2" t="inlineStr">
        <is>
          <t>Sierra Nevada Brewing Co.</t>
        </is>
      </c>
      <c r="C14" s="2" t="inlineStr">
        <is>
          <t>Non_ML_Org</t>
        </is>
      </c>
      <c r="D14" s="18" t="inlineStr">
        <is>
          <t>Manual Selection</t>
        </is>
      </c>
      <c r="E14" s="18" t="n">
        <v>1979</v>
      </c>
      <c r="F14" s="18" t="inlineStr">
        <is>
          <t>United States</t>
        </is>
      </c>
      <c r="G14" s="7" t="inlineStr">
        <is>
          <t>https://www.linkedin.com/company/sierra-nevada-brewing-co-/</t>
        </is>
      </c>
      <c r="H14" s="18">
        <f t="array" ref="H14:L14">XLOOKUP(A14,linkedIn_filter_evaluation!A:A,linkedIn_filter_evaluation!F:J)</f>
        <v/>
      </c>
      <c r="I14" s="18" t="n">
        <v>0</v>
      </c>
      <c r="J14" s="18" t="n">
        <v>0</v>
      </c>
      <c r="K14" s="18" t="n">
        <v>0</v>
      </c>
      <c r="L14" s="18" t="n">
        <v>247</v>
      </c>
      <c r="M14" s="18">
        <f t="array" ref="M14:U14">XLOOKUP(A14,llm_based_evaluation!A:A,llm_based_evaluation!C:K)</f>
        <v/>
      </c>
      <c r="N14" s="18" t="n">
        <v>627</v>
      </c>
      <c r="O14" s="18" t="n">
        <v>0</v>
      </c>
      <c r="P14" s="18" t="n">
        <v>627</v>
      </c>
      <c r="Q14" s="18" t="n">
        <v>627</v>
      </c>
      <c r="R14" s="18" t="n">
        <v>0</v>
      </c>
      <c r="S14" s="18" t="n">
        <v>624</v>
      </c>
      <c r="T14" s="18" t="n">
        <v>624</v>
      </c>
      <c r="U14" s="18" t="n">
        <v>0</v>
      </c>
      <c r="V14" s="21">
        <f>NOT(OR(H14&gt;=N14*3, H14&lt;=N14/3))</f>
        <v/>
      </c>
      <c r="W14" s="21">
        <f>H14&gt;=10</f>
        <v/>
      </c>
      <c r="X14" s="21">
        <f>Max(I14:K14,O14,R14,U14)&gt;=5</f>
        <v/>
      </c>
      <c r="Y14" s="21">
        <f>IF(H14&gt;0, Max(I14:K14,O14,R14,U14)/H14&gt;=0.01,FALSE)</f>
        <v/>
      </c>
      <c r="Z14" s="21" t="b">
        <v>1</v>
      </c>
    </row>
    <row r="15">
      <c r="A15" s="2" t="inlineStr">
        <is>
          <t>comparator_34</t>
        </is>
      </c>
      <c r="B15" s="2" t="inlineStr">
        <is>
          <t>The Coca-Cola Company</t>
        </is>
      </c>
      <c r="C15" s="2" t="inlineStr">
        <is>
          <t>Non_ML_Org</t>
        </is>
      </c>
      <c r="D15" s="18" t="inlineStr">
        <is>
          <t>Manual Selection</t>
        </is>
      </c>
      <c r="E15" s="18" t="n">
        <v>1886</v>
      </c>
      <c r="F15" s="18" t="inlineStr">
        <is>
          <t>United States</t>
        </is>
      </c>
      <c r="G15" s="7" t="inlineStr">
        <is>
          <t>https://www.linkedin.com/company/the-coca-cola-company/</t>
        </is>
      </c>
      <c r="H15" s="18">
        <f t="array" ref="H15:L15">XLOOKUP(A15,linkedIn_filter_evaluation!A:A,linkedIn_filter_evaluation!F:J)</f>
        <v/>
      </c>
      <c r="I15" s="18" t="n">
        <v>68</v>
      </c>
      <c r="J15" s="18" t="n">
        <v>31</v>
      </c>
      <c r="K15" s="18" t="n">
        <v>2</v>
      </c>
      <c r="L15" s="18" t="n">
        <v>9500</v>
      </c>
      <c r="M15" s="18">
        <f t="array" ref="M15:U15">XLOOKUP(A15,llm_based_evaluation!A:A,llm_based_evaluation!C:K)</f>
        <v/>
      </c>
      <c r="N15" s="18" t="n">
        <v>31023</v>
      </c>
      <c r="O15" s="18" t="n">
        <v>3</v>
      </c>
      <c r="P15" s="18" t="n">
        <v>31014</v>
      </c>
      <c r="Q15" s="18" t="n">
        <v>31005</v>
      </c>
      <c r="R15" s="18" t="n">
        <v>9</v>
      </c>
      <c r="S15" s="18" t="n">
        <v>30616</v>
      </c>
      <c r="T15" s="18" t="n">
        <v>30586</v>
      </c>
      <c r="U15" s="18" t="n">
        <v>30</v>
      </c>
      <c r="V15" s="21">
        <f>NOT(OR(H15&gt;=N15*3, H15&lt;=N15/3))</f>
        <v/>
      </c>
      <c r="W15" s="21">
        <f>H15&gt;=10</f>
        <v/>
      </c>
      <c r="X15" s="21">
        <f>Max(I15:K15,O15,R15,U15)&gt;=5</f>
        <v/>
      </c>
      <c r="Y15" s="21">
        <f>IF(H15&gt;0, Max(I15:K15,O15,R15,U15)/H15&gt;=0.01,FALSE)</f>
        <v/>
      </c>
      <c r="Z15" s="21" t="b">
        <v>1</v>
      </c>
    </row>
    <row r="16">
      <c r="A16" s="2" t="inlineStr">
        <is>
          <t>comparator_35</t>
        </is>
      </c>
      <c r="B16" s="2" t="inlineStr">
        <is>
          <t>Jotun</t>
        </is>
      </c>
      <c r="C16" s="2" t="inlineStr">
        <is>
          <t>Non_ML_Org</t>
        </is>
      </c>
      <c r="D16" s="18" t="inlineStr">
        <is>
          <t>Manual Selection</t>
        </is>
      </c>
      <c r="E16" s="18" t="n">
        <v>1926</v>
      </c>
      <c r="F16" s="18" t="inlineStr">
        <is>
          <t>Norway</t>
        </is>
      </c>
      <c r="G16" s="7" t="inlineStr">
        <is>
          <t>https://www.linkedin.com/company/jotun/</t>
        </is>
      </c>
      <c r="H16" s="18">
        <f t="array" ref="H16:L16">XLOOKUP(A16,linkedIn_filter_evaluation!A:A,linkedIn_filter_evaluation!F:J)</f>
        <v/>
      </c>
      <c r="I16" s="18" t="n">
        <v>5</v>
      </c>
      <c r="J16" s="18" t="n">
        <v>1</v>
      </c>
      <c r="K16" s="18" t="n">
        <v>0</v>
      </c>
      <c r="L16" s="18" t="n">
        <v>912</v>
      </c>
      <c r="M16" s="18">
        <f t="array" ref="M16:U16">XLOOKUP(A16,llm_based_evaluation!A:A,llm_based_evaluation!C:K)</f>
        <v/>
      </c>
      <c r="N16" s="18" t="n">
        <v>3871</v>
      </c>
      <c r="O16" s="18" t="n">
        <v>0</v>
      </c>
      <c r="P16" s="18" t="n">
        <v>3868</v>
      </c>
      <c r="Q16" s="18" t="n">
        <v>3868</v>
      </c>
      <c r="R16" s="18" t="n">
        <v>0</v>
      </c>
      <c r="S16" s="18" t="n">
        <v>3825</v>
      </c>
      <c r="T16" s="18" t="n">
        <v>3823</v>
      </c>
      <c r="U16" s="18" t="n">
        <v>2</v>
      </c>
      <c r="V16" s="21">
        <f>NOT(OR(H16&gt;=N16*3, H16&lt;=N16/3))</f>
        <v/>
      </c>
      <c r="W16" s="21">
        <f>H16&gt;=10</f>
        <v/>
      </c>
      <c r="X16" s="21">
        <f>Max(I16:K16,O16,R16,U16)&gt;=5</f>
        <v/>
      </c>
      <c r="Y16" s="21">
        <f>IF(H16&gt;0, Max(I16:K16,O16,R16,U16)/H16&gt;=0.01,FALSE)</f>
        <v/>
      </c>
      <c r="Z16" s="21" t="b">
        <v>1</v>
      </c>
    </row>
    <row r="17">
      <c r="A17" s="2" t="inlineStr">
        <is>
          <t>comparator_36</t>
        </is>
      </c>
      <c r="B17" s="2" t="inlineStr">
        <is>
          <t>Sherwin-Williams</t>
        </is>
      </c>
      <c r="C17" s="2" t="inlineStr">
        <is>
          <t>Non_ML_Org</t>
        </is>
      </c>
      <c r="D17" s="18" t="inlineStr">
        <is>
          <t>Manual Selection</t>
        </is>
      </c>
      <c r="E17" s="18" t="n">
        <v>1866</v>
      </c>
      <c r="F17" s="18" t="inlineStr">
        <is>
          <t>United States</t>
        </is>
      </c>
      <c r="G17" s="7" t="inlineStr">
        <is>
          <t>https://www.linkedin.com/company/sherwin-williams/</t>
        </is>
      </c>
      <c r="H17" s="18">
        <f t="array" ref="H17:L17">XLOOKUP(A17,linkedIn_filter_evaluation!A:A,linkedIn_filter_evaluation!F:J)</f>
        <v/>
      </c>
      <c r="I17" s="18" t="n">
        <v>28</v>
      </c>
      <c r="J17" s="18" t="n">
        <v>29</v>
      </c>
      <c r="K17" s="18" t="n">
        <v>2</v>
      </c>
      <c r="L17" s="18" t="n">
        <v>6600</v>
      </c>
      <c r="M17" s="18">
        <f t="array" ref="M17:U17">XLOOKUP(A17,llm_based_evaluation!A:A,llm_based_evaluation!C:K)</f>
        <v/>
      </c>
      <c r="N17" s="18" t="n">
        <v>34616</v>
      </c>
      <c r="O17" s="18" t="n">
        <v>1</v>
      </c>
      <c r="P17" s="18" t="n">
        <v>34623</v>
      </c>
      <c r="Q17" s="18" t="n">
        <v>34621</v>
      </c>
      <c r="R17" s="18" t="n">
        <v>2</v>
      </c>
      <c r="S17" s="18" t="n">
        <v>34225</v>
      </c>
      <c r="T17" s="18" t="n">
        <v>34219</v>
      </c>
      <c r="U17" s="18" t="n">
        <v>6</v>
      </c>
      <c r="V17" s="21">
        <f>NOT(OR(H17&gt;=N17*3, H17&lt;=N17/3))</f>
        <v/>
      </c>
      <c r="W17" s="21">
        <f>H17&gt;=10</f>
        <v/>
      </c>
      <c r="X17" s="21">
        <f>Max(I17:K17,O17,R17,U17)&gt;=5</f>
        <v/>
      </c>
      <c r="Y17" s="21">
        <f>IF(H17&gt;0, Max(I17:K17,O17,R17,U17)/H17&gt;=0.01,FALSE)</f>
        <v/>
      </c>
      <c r="Z17" s="21" t="b">
        <v>1</v>
      </c>
    </row>
    <row r="18">
      <c r="A18" s="2" t="inlineStr">
        <is>
          <t>comparator_37</t>
        </is>
      </c>
      <c r="B18" s="2" t="inlineStr">
        <is>
          <t>Desigual</t>
        </is>
      </c>
      <c r="C18" s="2" t="inlineStr">
        <is>
          <t>Non_ML_Org</t>
        </is>
      </c>
      <c r="D18" s="18" t="inlineStr">
        <is>
          <t>Manual Selection</t>
        </is>
      </c>
      <c r="E18" s="18" t="n">
        <v>1984</v>
      </c>
      <c r="F18" s="18" t="inlineStr">
        <is>
          <t>Spain</t>
        </is>
      </c>
      <c r="G18" s="7" t="inlineStr">
        <is>
          <t>https://www.linkedin.com/company/desigual/</t>
        </is>
      </c>
      <c r="H18" s="18">
        <f t="array" ref="H18:L18">XLOOKUP(A18,linkedIn_filter_evaluation!A:A,linkedIn_filter_evaluation!F:J)</f>
        <v/>
      </c>
      <c r="I18" s="18" t="n">
        <v>0</v>
      </c>
      <c r="J18" s="18" t="n">
        <v>0</v>
      </c>
      <c r="K18" s="18" t="n">
        <v>0</v>
      </c>
      <c r="L18" s="18" t="n">
        <v>1100</v>
      </c>
      <c r="M18" s="18">
        <f t="array" ref="M18:U18">XLOOKUP(A18,llm_based_evaluation!A:A,llm_based_evaluation!C:K)</f>
        <v/>
      </c>
      <c r="N18" s="18" t="n">
        <v>2259</v>
      </c>
      <c r="O18" s="18" t="n">
        <v>0</v>
      </c>
      <c r="P18" s="18" t="n">
        <v>2257</v>
      </c>
      <c r="Q18" s="18" t="n">
        <v>2257</v>
      </c>
      <c r="R18" s="18" t="n">
        <v>0</v>
      </c>
      <c r="S18" s="18" t="n">
        <v>2232</v>
      </c>
      <c r="T18" s="18" t="n">
        <v>2231</v>
      </c>
      <c r="U18" s="18" t="n">
        <v>1</v>
      </c>
      <c r="V18" s="21">
        <f>NOT(OR(H18&gt;=N18*3, H18&lt;=N18/3))</f>
        <v/>
      </c>
      <c r="W18" s="21">
        <f>H18&gt;=10</f>
        <v/>
      </c>
      <c r="X18" s="21">
        <f>Max(I18:K18,O18,R18,U18)&gt;=5</f>
        <v/>
      </c>
      <c r="Y18" s="21">
        <f>IF(H18&gt;0, Max(I18:K18,O18,R18,U18)/H18&gt;=0.01,FALSE)</f>
        <v/>
      </c>
      <c r="Z18" s="21" t="b">
        <v>1</v>
      </c>
    </row>
    <row r="19">
      <c r="A19" s="2" t="inlineStr">
        <is>
          <t>comparator_38</t>
        </is>
      </c>
      <c r="B19" s="2" t="inlineStr">
        <is>
          <t>Burberry</t>
        </is>
      </c>
      <c r="C19" s="2" t="inlineStr">
        <is>
          <t>Non_ML_Org</t>
        </is>
      </c>
      <c r="D19" s="18" t="inlineStr">
        <is>
          <t>Manual Selection</t>
        </is>
      </c>
      <c r="E19" s="18" t="n">
        <v>1856</v>
      </c>
      <c r="F19" s="18" t="inlineStr">
        <is>
          <t>United Kingdom</t>
        </is>
      </c>
      <c r="G19" s="7" t="inlineStr">
        <is>
          <t>https://www.linkedin.com/company/burberry/</t>
        </is>
      </c>
      <c r="H19" s="18">
        <f t="array" ref="H19:L19">XLOOKUP(A19,linkedIn_filter_evaluation!A:A,linkedIn_filter_evaluation!F:J)</f>
        <v/>
      </c>
      <c r="I19" s="18" t="n">
        <v>5</v>
      </c>
      <c r="J19" s="18" t="n">
        <v>2</v>
      </c>
      <c r="K19" s="18" t="n">
        <v>0</v>
      </c>
      <c r="L19" s="18" t="n">
        <v>2400</v>
      </c>
      <c r="M19" s="18">
        <f t="array" ref="M19:U19">XLOOKUP(A19,llm_based_evaluation!A:A,llm_based_evaluation!C:K)</f>
        <v/>
      </c>
      <c r="N19" s="18" t="n">
        <v>7322</v>
      </c>
      <c r="O19" s="18" t="n">
        <v>1</v>
      </c>
      <c r="P19" s="18" t="n">
        <v>7328</v>
      </c>
      <c r="Q19" s="18" t="n">
        <v>7327</v>
      </c>
      <c r="R19" s="18" t="n">
        <v>1</v>
      </c>
      <c r="S19" s="18" t="n">
        <v>7238</v>
      </c>
      <c r="T19" s="18" t="n">
        <v>7236</v>
      </c>
      <c r="U19" s="18" t="n">
        <v>2</v>
      </c>
      <c r="V19" s="21">
        <f>NOT(OR(H19&gt;=N19*3, H19&lt;=N19/3))</f>
        <v/>
      </c>
      <c r="W19" s="21">
        <f>H19&gt;=10</f>
        <v/>
      </c>
      <c r="X19" s="21">
        <f>Max(I19:K19,O19,R19,U19)&gt;=5</f>
        <v/>
      </c>
      <c r="Y19" s="21">
        <f>IF(H19&gt;0, Max(I19:K19,O19,R19,U19)/H19&gt;=0.01,FALSE)</f>
        <v/>
      </c>
      <c r="Z19" s="21" t="b">
        <v>1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2026-02-09T14:08:36Z</dcterms:created>
  <dcterms:modified xsi:type="dcterms:W3CDTF">2026-02-09T14:08:36Z</dcterms:modified>
</cp:coreProperties>
</file>